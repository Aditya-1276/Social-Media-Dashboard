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agement" sheetId="1" r:id="rId5"/>
  </sheets>
  <definedNames/>
  <calcPr/>
</workbook>
</file>

<file path=xl/sharedStrings.xml><?xml version="1.0" encoding="utf-8"?>
<sst xmlns="http://schemas.openxmlformats.org/spreadsheetml/2006/main" count="759" uniqueCount="484">
  <si>
    <t>source</t>
  </si>
  <si>
    <t>date</t>
  </si>
  <si>
    <t>normalized_date</t>
  </si>
  <si>
    <t>month_year</t>
  </si>
  <si>
    <t>views</t>
  </si>
  <si>
    <t>likes</t>
  </si>
  <si>
    <t>comments</t>
  </si>
  <si>
    <t>shares_retweets</t>
  </si>
  <si>
    <t>engagement_rate</t>
  </si>
  <si>
    <t>url</t>
  </si>
  <si>
    <t>Instagram</t>
  </si>
  <si>
    <t>2025-12-10T10:46:36.000Z</t>
  </si>
  <si>
    <t>https://www.instagram.com/p/DSFIFKpEmJE/</t>
  </si>
  <si>
    <t>2026-03-30T14:49:45.000Z</t>
  </si>
  <si>
    <t>https://www.instagram.com/p/DWgzWT3krsg/</t>
  </si>
  <si>
    <t>2025-11-17T14:50:19.000Z</t>
  </si>
  <si>
    <t>https://www.instagram.com/p/DRKVsCKEjL9/</t>
  </si>
  <si>
    <t>2026-03-30T14:40:19.000Z</t>
  </si>
  <si>
    <t>https://www.instagram.com/p/DWgyRJ5ks-I/</t>
  </si>
  <si>
    <t>2025-12-25T15:56:52.000Z</t>
  </si>
  <si>
    <t>https://www.instagram.com/p/DSsTgwHktZh/</t>
  </si>
  <si>
    <t>2026-04-01T15:31:37.000Z</t>
  </si>
  <si>
    <t>https://www.instagram.com/p/DWmBus7Et7y/</t>
  </si>
  <si>
    <t>2026-02-10T14:32:01.000Z</t>
  </si>
  <si>
    <t>https://www.instagram.com/p/DUlLKZVkmno/</t>
  </si>
  <si>
    <t>2026-04-01T15:27:52.000Z</t>
  </si>
  <si>
    <t>https://www.instagram.com/p/DWmBTRAkoMZ/</t>
  </si>
  <si>
    <t>2025-08-07T14:16:13.000Z</t>
  </si>
  <si>
    <t>https://www.instagram.com/p/DNDotBzvyck/</t>
  </si>
  <si>
    <t>2025-09-16T12:54:09.000Z</t>
  </si>
  <si>
    <t>https://www.instagram.com/p/DOqfG63Euxl/</t>
  </si>
  <si>
    <t>2025-08-21T13:03:47.000Z</t>
  </si>
  <si>
    <t>https://www.instagram.com/p/DNnjiykvUhq/</t>
  </si>
  <si>
    <t>2025-08-07T14:35:46.000Z</t>
  </si>
  <si>
    <t>https://www.instagram.com/p/DNDq8MMqoad/</t>
  </si>
  <si>
    <t>2025-10-17T13:35:49.000Z</t>
  </si>
  <si>
    <t>https://www.instagram.com/p/DP6YhSsku6r/</t>
  </si>
  <si>
    <t>2025-08-21T13:10:20.000Z</t>
  </si>
  <si>
    <t>https://www.instagram.com/p/DNnkStwvakl/</t>
  </si>
  <si>
    <t>2025-11-01T15:10:22.000Z</t>
  </si>
  <si>
    <t>https://www.instagram.com/p/DQhLQ9xkkqD/</t>
  </si>
  <si>
    <t>2025-09-08T13:54:00.000Z</t>
  </si>
  <si>
    <t>https://www.instagram.com/p/DOV_mVfkrsC/</t>
  </si>
  <si>
    <t>2025-11-27T12:06:17.000Z</t>
  </si>
  <si>
    <t>https://www.instagram.com/p/DRjy3agEixU/</t>
  </si>
  <si>
    <t>2026-02-06T15:52:52.000Z</t>
  </si>
  <si>
    <t>https://www.instagram.com/p/DUbBPEBEk9K/</t>
  </si>
  <si>
    <t>2026-03-16T05:40:49.000Z</t>
  </si>
  <si>
    <t>https://www.instagram.com/p/DV7xZFnkoNz/</t>
  </si>
  <si>
    <t>2025-07-15T12:45:28.000Z</t>
  </si>
  <si>
    <t>https://www.instagram.com/p/DMIQCNGxgkT/</t>
  </si>
  <si>
    <t>2025-08-01T11:00:43.000Z</t>
  </si>
  <si>
    <t>https://www.instagram.com/p/DMz1j-NPtKw/</t>
  </si>
  <si>
    <t>2025-07-31T14:15:53.000Z</t>
  </si>
  <si>
    <t>https://www.instagram.com/p/DMxnGjHvuoM/</t>
  </si>
  <si>
    <t>2025-07-25T09:42:37.000Z</t>
  </si>
  <si>
    <t>https://www.instagram.com/p/DMhrDvGPEat/</t>
  </si>
  <si>
    <t>2025-07-17T14:31:30.000Z</t>
  </si>
  <si>
    <t>https://www.instagram.com/p/DMNlwlEvy6R/</t>
  </si>
  <si>
    <t>2025-07-24T07:19:47.000Z</t>
  </si>
  <si>
    <t>https://www.instagram.com/p/DMe16yyPFsC/</t>
  </si>
  <si>
    <t>2025-07-31T14:19:40.000Z</t>
  </si>
  <si>
    <t>https://www.instagram.com/p/DMxniOFPeun/</t>
  </si>
  <si>
    <t>2025-04-17T14:21:59.000Z</t>
  </si>
  <si>
    <t>https://www.instagram.com/p/DIjQVQWPXxk/</t>
  </si>
  <si>
    <t>2025-07-24T07:24:38.000Z</t>
  </si>
  <si>
    <t>https://www.instagram.com/p/DMe2eT4PLoV/</t>
  </si>
  <si>
    <t>2025-11-04T11:06:32.000Z</t>
  </si>
  <si>
    <t>https://www.instagram.com/p/DQodvqxkmtx/</t>
  </si>
  <si>
    <t>2025-08-21T13:06:52.000Z</t>
  </si>
  <si>
    <t>https://www.instagram.com/p/DNnj5ZHPWM3/</t>
  </si>
  <si>
    <t>2025-09-26T13:48:57.000Z</t>
  </si>
  <si>
    <t>https://www.instagram.com/p/DPEVVGrEuen/</t>
  </si>
  <si>
    <t>2025-08-07T14:13:25.000Z</t>
  </si>
  <si>
    <t>https://www.instagram.com/p/DNDoYiCPpMG/</t>
  </si>
  <si>
    <t>2026-01-23T12:36:27.000Z</t>
  </si>
  <si>
    <t>https://www.instagram.com/p/DT2noQ_kqS4/</t>
  </si>
  <si>
    <t>2025-08-01T10:53:25.000Z</t>
  </si>
  <si>
    <t>https://www.instagram.com/p/DMz0ufwvrOT/</t>
  </si>
  <si>
    <t>2025-07-31T14:13:16.000Z</t>
  </si>
  <si>
    <t>https://www.instagram.com/p/DMxmzVkPUyr/</t>
  </si>
  <si>
    <t>2025-04-01T11:53:56.000Z</t>
  </si>
  <si>
    <t>https://www.instagram.com/p/DH5yq6fPXaw/</t>
  </si>
  <si>
    <t>2025-04-02T12:52:43.000Z</t>
  </si>
  <si>
    <t>https://www.instagram.com/p/DH8eMVtPqmB/</t>
  </si>
  <si>
    <t>2025-04-15T14:05:53.000Z</t>
  </si>
  <si>
    <t>https://www.instagram.com/p/DIeE5rSPYqu/</t>
  </si>
  <si>
    <t>2025-04-02T15:36:24.000Z</t>
  </si>
  <si>
    <t>https://www.instagram.com/p/DH8w7O_qjra/</t>
  </si>
  <si>
    <t>2025-04-04T14:58:38.000Z</t>
  </si>
  <si>
    <t>https://www.instagram.com/p/DIB2MUKPVJK/</t>
  </si>
  <si>
    <t>2025-04-08T14:24:08.000Z</t>
  </si>
  <si>
    <t>https://www.instagram.com/p/DIMFbNuPaGq/</t>
  </si>
  <si>
    <t>2025-04-01T14:27:45.000Z</t>
  </si>
  <si>
    <t>https://www.instagram.com/p/DH6ERglP4HC/</t>
  </si>
  <si>
    <t>2025-04-10T13:54:06.000Z</t>
  </si>
  <si>
    <t>https://www.instagram.com/p/DIRLk-xvI3R/</t>
  </si>
  <si>
    <t>2025-04-04T11:37:25.000Z</t>
  </si>
  <si>
    <t>https://www.instagram.com/p/DIBfKnjPaca/</t>
  </si>
  <si>
    <t>2025-04-03T14:23:50.000Z</t>
  </si>
  <si>
    <t>https://www.instagram.com/p/DH_NakmPF2P/</t>
  </si>
  <si>
    <t>2025-04-01T14:20:35.000Z</t>
  </si>
  <si>
    <t>https://www.instagram.com/p/DH6DdBfv4KQ/</t>
  </si>
  <si>
    <t>2025-08-07T14:12:00.000Z</t>
  </si>
  <si>
    <t>https://www.instagram.com/p/DNDoON_vXWF/</t>
  </si>
  <si>
    <t>2025-03-17T14:28:54.000Z</t>
  </si>
  <si>
    <t>https://www.instagram.com/p/DHTce04vyrf/</t>
  </si>
  <si>
    <t>2025-03-18T15:40:12.000Z</t>
  </si>
  <si>
    <t>https://www.instagram.com/p/DHWJb3zyxm5/</t>
  </si>
  <si>
    <t>2025-03-18T11:06:45.000Z</t>
  </si>
  <si>
    <t>https://www.instagram.com/p/DHVqJHUPTOW/</t>
  </si>
  <si>
    <t>2025-03-29T08:18:27.000Z</t>
  </si>
  <si>
    <t>https://www.instagram.com/p/DHxroBHPFtE/</t>
  </si>
  <si>
    <t>2025-03-18T13:27:51.000Z</t>
  </si>
  <si>
    <t>https://www.instagram.com/p/DHV6SjcvwhO/</t>
  </si>
  <si>
    <t>2025-03-20T12:51:57.000Z</t>
  </si>
  <si>
    <t>https://www.instagram.com/p/DHa_xXKPual/</t>
  </si>
  <si>
    <t>2025-03-18T07:28:37.000Z</t>
  </si>
  <si>
    <t>https://www.instagram.com/p/DHVRLcOv8_G/</t>
  </si>
  <si>
    <t>2025-04-03T12:26:56.000Z</t>
  </si>
  <si>
    <t>https://www.instagram.com/p/DH_ACVNvouK/</t>
  </si>
  <si>
    <t>2025-03-20T14:00:15.000Z</t>
  </si>
  <si>
    <t>https://www.instagram.com/p/DHbHlkfv3hf/</t>
  </si>
  <si>
    <t>2025-03-29T05:34:00.000Z</t>
  </si>
  <si>
    <t>https://www.instagram.com/p/DHxYzjTP31g/</t>
  </si>
  <si>
    <t>2025-03-11T11:39:27.000Z</t>
  </si>
  <si>
    <t>https://www.instagram.com/p/DHDsUdbvsWm/</t>
  </si>
  <si>
    <t>2025-03-11T11:33:20.000Z</t>
  </si>
  <si>
    <t>https://www.instagram.com/p/DHDrnpQvtAl/</t>
  </si>
  <si>
    <t>2025-03-12T13:24:49.000Z</t>
  </si>
  <si>
    <t>https://www.instagram.com/p/DHGdLIJK25r/</t>
  </si>
  <si>
    <t>2025-03-17T07:02:27.000Z</t>
  </si>
  <si>
    <t>https://www.instagram.com/p/DHSpY7mvwVh/</t>
  </si>
  <si>
    <t>2025-03-13T13:17:20.000Z</t>
  </si>
  <si>
    <t>https://www.instagram.com/p/DHJBHG6qCHU/</t>
  </si>
  <si>
    <t>2025-03-12T09:05:54.000Z</t>
  </si>
  <si>
    <t>https://www.instagram.com/p/DHF_ixmPo0N/</t>
  </si>
  <si>
    <t>2025-03-07T13:04:49.000Z</t>
  </si>
  <si>
    <t>https://www.instagram.com/p/DG5i6LNPM0s/</t>
  </si>
  <si>
    <t>2025-03-12T11:21:55.000Z</t>
  </si>
  <si>
    <t>https://www.instagram.com/p/DHGPG71vCAy/</t>
  </si>
  <si>
    <t>2025-03-17T13:08:23.000Z</t>
  </si>
  <si>
    <t>https://www.instagram.com/p/DHTTRJfvY_Q/</t>
  </si>
  <si>
    <t>2025-03-28T15:39:26.000Z</t>
  </si>
  <si>
    <t>https://www.instagram.com/p/DHv5S_9PbEC/</t>
  </si>
  <si>
    <t>2025-03-06T13:50:04.000Z</t>
  </si>
  <si>
    <t>https://www.instagram.com/p/DG3DS0zPLbB/</t>
  </si>
  <si>
    <t>2025-02-06T11:39:53.000Z</t>
  </si>
  <si>
    <t>https://www.instagram.com/p/DFuuI2TvUOa/</t>
  </si>
  <si>
    <t>2024-11-19T08:16:18.000Z</t>
  </si>
  <si>
    <t>https://www.instagram.com/p/DCi8Cn_Pi04/</t>
  </si>
  <si>
    <t>2024-12-24T16:19:20.000Z</t>
  </si>
  <si>
    <t>https://www.instagram.com/p/DD97JDPPQ-k/</t>
  </si>
  <si>
    <t>2025-03-06T13:46:06.000Z</t>
  </si>
  <si>
    <t>https://www.instagram.com/p/DG3C1qtPD6z/</t>
  </si>
  <si>
    <t>2025-03-06T13:43:49.000Z</t>
  </si>
  <si>
    <t>https://www.instagram.com/p/DG3Ck-dvVIv/</t>
  </si>
  <si>
    <t>2025-03-06T13:58:57.000Z</t>
  </si>
  <si>
    <t>https://www.instagram.com/p/DG3ET5eKtea/</t>
  </si>
  <si>
    <t>2025-03-06T13:39:37.000Z</t>
  </si>
  <si>
    <t>https://www.instagram.com/p/DG3CGR8PI8N/</t>
  </si>
  <si>
    <t>2024-11-04T12:59:31.000Z</t>
  </si>
  <si>
    <t>https://www.instagram.com/p/DB80hwrvSgX/</t>
  </si>
  <si>
    <t>2025-03-13T07:01:04.000Z</t>
  </si>
  <si>
    <t>https://www.instagram.com/p/DHIWDWrvLmX/</t>
  </si>
  <si>
    <t>2024-02-19T15:26:22.000Z</t>
  </si>
  <si>
    <t>https://www.instagram.com/p/C3iLcxsvg16/</t>
  </si>
  <si>
    <t>2024-06-12T15:21:40.000Z</t>
  </si>
  <si>
    <t>https://www.instagram.com/p/C8HtiDrvCMR/</t>
  </si>
  <si>
    <t>2025-03-11T11:36:07.000Z</t>
  </si>
  <si>
    <t>https://www.instagram.com/p/DHDr8FMvhuG/</t>
  </si>
  <si>
    <t>2025-03-28T14:18:21.000Z</t>
  </si>
  <si>
    <t>https://www.instagram.com/p/DHvwBMRv-r6/</t>
  </si>
  <si>
    <t>2025-02-18T09:22:15.000Z</t>
  </si>
  <si>
    <t>https://www.instagram.com/p/DGNX7R7qtW3/</t>
  </si>
  <si>
    <t>2024-08-21T17:42:49.000Z</t>
  </si>
  <si>
    <t>https://www.instagram.com/p/C-8NVItSB6V/</t>
  </si>
  <si>
    <t>2024-02-09T12:41:51.000Z</t>
  </si>
  <si>
    <t>https://www.instagram.com/p/C3IIrCsv9yr/</t>
  </si>
  <si>
    <t>2024-05-21T14:42:21.000Z</t>
  </si>
  <si>
    <t>https://www.instagram.com/p/C7O_i2bPP-K/</t>
  </si>
  <si>
    <t>2024-10-25T16:31:22.000Z</t>
  </si>
  <si>
    <t>https://www.instagram.com/p/DBjc0pEPmCU/</t>
  </si>
  <si>
    <t>2024-10-31T12:25:37.000Z</t>
  </si>
  <si>
    <t>https://www.instagram.com/p/DBydd8SP-Xm/</t>
  </si>
  <si>
    <t>2024-06-27T06:12:24.000Z</t>
  </si>
  <si>
    <t>https://www.instagram.com/p/C8tWmLvvLJU/</t>
  </si>
  <si>
    <t>2025-03-20T15:17:11.000Z</t>
  </si>
  <si>
    <t>https://www.instagram.com/p/DHbQZH-vAkF/</t>
  </si>
  <si>
    <t>2023-11-14T12:23:14.000Z</t>
  </si>
  <si>
    <t>https://www.instagram.com/p/CzoFYiuP2Sa/</t>
  </si>
  <si>
    <t>2024-11-08T13:44:16.000Z</t>
  </si>
  <si>
    <t>https://www.instagram.com/p/DCHM1CLv2Kr/</t>
  </si>
  <si>
    <t>2024-01-31T13:50:44.000Z</t>
  </si>
  <si>
    <t>https://www.instagram.com/p/C2xFZnwPNb3/</t>
  </si>
  <si>
    <t>2023-12-25T08:16:06.000Z</t>
  </si>
  <si>
    <t>https://www.instagram.com/p/C1RNsV2SGWt/</t>
  </si>
  <si>
    <t>2023-12-01T13:23:11.000Z</t>
  </si>
  <si>
    <t>https://www.instagram.com/p/C0T9we0vKxp/</t>
  </si>
  <si>
    <t>2023-12-01T13:36:03.000Z</t>
  </si>
  <si>
    <t>https://www.instagram.com/p/C0T-EX4vrg1/</t>
  </si>
  <si>
    <t>2024-01-12T13:57:34.000Z</t>
  </si>
  <si>
    <t>https://www.instagram.com/p/C2ALFIpvKUe/</t>
  </si>
  <si>
    <t>2023-12-23T20:49:14.000Z</t>
  </si>
  <si>
    <t>https://www.instagram.com/p/C1NaStvSbXq/</t>
  </si>
  <si>
    <t>2024-05-21T14:38:55.000Z</t>
  </si>
  <si>
    <t>https://www.instagram.com/p/C7O_Jo4PcIW/</t>
  </si>
  <si>
    <t>2025-03-13T14:50:34.000Z</t>
  </si>
  <si>
    <t>https://www.instagram.com/p/DHJLx_GvFal/</t>
  </si>
  <si>
    <t>2024-11-02T11:37:58.000Z</t>
  </si>
  <si>
    <t>https://www.instagram.com/p/DB3hmsnvaFo/</t>
  </si>
  <si>
    <t>2024-06-12T15:11:12.000Z</t>
  </si>
  <si>
    <t>https://www.instagram.com/p/C8HsVYwP1cJ/</t>
  </si>
  <si>
    <t>2024-06-12T15:08:57.000Z</t>
  </si>
  <si>
    <t>https://www.instagram.com/p/C8HsE94vMgn/</t>
  </si>
  <si>
    <t>2023-12-22T14:18:20.000Z</t>
  </si>
  <si>
    <t>https://www.instagram.com/p/C1KIw3MPhzs/</t>
  </si>
  <si>
    <t>2023-12-14T05:02:19.000Z</t>
  </si>
  <si>
    <t>https://www.instagram.com/p/C00ixZSvIFw/</t>
  </si>
  <si>
    <t>2023-11-28T14:13:51.000Z</t>
  </si>
  <si>
    <t>https://www.instagram.com/p/C0MVK83PJ9Q/</t>
  </si>
  <si>
    <t>2023-11-10T13:22:54.000Z</t>
  </si>
  <si>
    <t>https://www.instagram.com/p/Czd5CEWPxYu/</t>
  </si>
  <si>
    <t>2023-12-23T07:35:09.000Z</t>
  </si>
  <si>
    <t>https://www.instagram.com/p/C1L_atByi9W/</t>
  </si>
  <si>
    <t>2025-02-06T11:24:15.000Z</t>
  </si>
  <si>
    <t>https://www.instagram.com/p/DFusWPIPGOy/</t>
  </si>
  <si>
    <t>2023-11-03T14:03:30.000Z</t>
  </si>
  <si>
    <t>https://www.instagram.com/p/CzL8HUcPygA/</t>
  </si>
  <si>
    <t>2023-09-16T03:51:40.000Z</t>
  </si>
  <si>
    <t>https://www.instagram.com/p/CxPP8JfyB35/</t>
  </si>
  <si>
    <t>2023-04-07T09:26:44.000Z</t>
  </si>
  <si>
    <t>https://www.instagram.com/p/Cqutga1pHyr/</t>
  </si>
  <si>
    <t>2023-11-06T16:46:16.000Z</t>
  </si>
  <si>
    <t>https://www.instagram.com/p/CzT9IACvpWg/</t>
  </si>
  <si>
    <t>2022-12-23T14:56:39.000Z</t>
  </si>
  <si>
    <t>https://www.instagram.com/p/Cmg7y5NhhaO/</t>
  </si>
  <si>
    <t>2023-04-28T14:51:16.000Z</t>
  </si>
  <si>
    <t>https://www.instagram.com/p/CrlXVzKpVpX/</t>
  </si>
  <si>
    <t>2023-09-19T15:41:30.000Z</t>
  </si>
  <si>
    <t>https://www.instagram.com/p/CxYPjptvAKo/</t>
  </si>
  <si>
    <t>2023-05-26T14:17:54.000Z</t>
  </si>
  <si>
    <t>https://www.instagram.com/p/CstZx5yy1NU/</t>
  </si>
  <si>
    <t>2023-10-27T13:06:17.000Z</t>
  </si>
  <si>
    <t>https://www.instagram.com/p/Cy50ADsvbJp/</t>
  </si>
  <si>
    <t>2023-11-07T16:16:28.000Z</t>
  </si>
  <si>
    <t>https://www.instagram.com/p/CzWegoHv2J1/</t>
  </si>
  <si>
    <t>2023-11-01T12:42:39.000Z</t>
  </si>
  <si>
    <t>https://www.instagram.com/p/CzGpRWiP4nv/</t>
  </si>
  <si>
    <t>2023-09-30T02:31:03.000Z</t>
  </si>
  <si>
    <t>https://www.instagram.com/p/CxzJ11TPqdn/</t>
  </si>
  <si>
    <t>2021-12-25T18:18:59.000Z</t>
  </si>
  <si>
    <t>https://www.instagram.com/p/CX6mZOKKpnG/</t>
  </si>
  <si>
    <t>2021-09-23T16:02:36.000Z</t>
  </si>
  <si>
    <t>https://www.instagram.com/p/CUK42GqAnDU/</t>
  </si>
  <si>
    <t>2022-05-24T15:12:50.000Z</t>
  </si>
  <si>
    <t>https://www.instagram.com/p/Cd8gVHdpug-/</t>
  </si>
  <si>
    <t>2021-09-30T15:52:19.000Z</t>
  </si>
  <si>
    <t>https://www.instagram.com/p/CUc5PxOpSMK/</t>
  </si>
  <si>
    <t>2022-02-18T13:05:41.000Z</t>
  </si>
  <si>
    <t>https://www.instagram.com/p/CaHqQxHPt40/</t>
  </si>
  <si>
    <t>2021-09-28T11:54:38.000Z</t>
  </si>
  <si>
    <t>https://www.instagram.com/p/CUXUdPyvrK7/</t>
  </si>
  <si>
    <t>2021-12-19T19:00:03.000Z</t>
  </si>
  <si>
    <t>https://www.instagram.com/p/CXrOUwmPPru/</t>
  </si>
  <si>
    <t>2022-09-26T15:35:39.000Z</t>
  </si>
  <si>
    <t>https://www.instagram.com/p/Ci-aTpCPtkl/</t>
  </si>
  <si>
    <t>2020-03-21T04:55:28.000Z</t>
  </si>
  <si>
    <t>https://www.instagram.com/p/B9-6gl9DtwF/</t>
  </si>
  <si>
    <t>2021-09-17T15:22:28.000Z</t>
  </si>
  <si>
    <t>https://www.instagram.com/p/CT7Xfy2PgU-/</t>
  </si>
  <si>
    <t>2021-09-06T14:52:52.000Z</t>
  </si>
  <si>
    <t>https://www.instagram.com/p/CTe_XYxpf_u/</t>
  </si>
  <si>
    <t>2022-10-21T17:27:36.000Z</t>
  </si>
  <si>
    <t>https://www.instagram.com/p/Cj--_cwPfsz/</t>
  </si>
  <si>
    <t>2022-03-08T13:31:50.000Z</t>
  </si>
  <si>
    <t>https://www.instagram.com/p/Ca2Dj-7Pgxq/</t>
  </si>
  <si>
    <t>2021-11-01T20:02:17.000Z</t>
  </si>
  <si>
    <t>https://www.instagram.com/p/CVvvSpRKMrY/</t>
  </si>
  <si>
    <t>2021-09-25T11:53:10.000Z</t>
  </si>
  <si>
    <t>https://www.instagram.com/p/CUPl5xxP5_6/</t>
  </si>
  <si>
    <t>LinkedIn</t>
  </si>
  <si>
    <t>2025-07-24T06:56:52.770Z</t>
  </si>
  <si>
    <t>https://www.linkedin.com/posts/littleredzombies_alan-wake-ii-the-lake-house-fbc-scientist-activity-7354041867782533120-DnI5?utm_source=combined_share_message&amp;utm_medium=member_desktop&amp;rcm=ACoAACeKeD0BuF80SqXQzZ7zQPkO3myaeSLGXW4</t>
  </si>
  <si>
    <t>2025-07-17T13:50:25.222Z</t>
  </si>
  <si>
    <t>https://www.linkedin.com/posts/littleredzombies_littleredzombies-ghosttownvr-fireproofstudios-activity-7351609223690059779-mawJ?utm_source=combined_share_message&amp;utm_medium=member_desktop&amp;rcm=ACoAACeKeD0BuF80SqXQzZ7zQPkO3myaeSLGXW4</t>
  </si>
  <si>
    <t>2025-07-15T11:29:13.408Z</t>
  </si>
  <si>
    <t>https://www.linkedin.com/posts/littleredzombies_xds2025-xds-externaldevelopmentsummit-activity-7350848914595475456-tdWe?utm_source=combined_share_message&amp;utm_medium=member_desktop&amp;rcm=ACoAACeKeD0BuF80SqXQzZ7zQPkO3myaeSLGXW4</t>
  </si>
  <si>
    <t>2025-08-07T12:56:58.690Z</t>
  </si>
  <si>
    <t>https://www.linkedin.com/posts/littleredzombies_split-fiction-playable-story-characters-activity-7359205919697637376-Q91u?utm_source=combined_share_message&amp;utm_medium=member_desktop&amp;rcm=ACoAAGNYwmMBHH05CVFu0KpJR4gGCaJ72HAoAEU</t>
  </si>
  <si>
    <t>2025-08-07T12:51:22.991Z</t>
  </si>
  <si>
    <t>https://www.linkedin.com/posts/littleredzombies_split-fiction-fauna-activity-7359204511673958400-k_Eb?utm_source=combined_share_message&amp;utm_medium=member_desktop&amp;rcm=ACoAAGNYwmMBHH05CVFu0KpJR4gGCaJ72HAoAEU</t>
  </si>
  <si>
    <t>2025-08-07T12:49:32.469Z</t>
  </si>
  <si>
    <t>https://www.linkedin.com/posts/littleredzombies_split-fiction-fauna-activity-7359204048111067136-2zV9?utm_source=combined_share_message&amp;utm_medium=member_desktop&amp;rcm=ACoAAGNYwmMBHH05CVFu0KpJR4gGCaJ72HAoAEU</t>
  </si>
  <si>
    <t>2025-08-01T10:27:59.873Z</t>
  </si>
  <si>
    <t>https://www.linkedin.com/posts/littleredzombies_split-fiction-story-characters-hair-activity-7356994100388093954-SsvH?utm_source=combined_share_message&amp;utm_medium=member_desktop&amp;rcm=ACoAAGNYwmMBHH05CVFu0KpJR4gGCaJ72HAoAEU</t>
  </si>
  <si>
    <t>2025-08-01T10:26:04.806Z</t>
  </si>
  <si>
    <t>https://www.linkedin.com/posts/littleredzombies_split-fiction-story-characters-hair-activity-7356993617762111488-Wiz8?utm_source=combined_share_message&amp;utm_medium=member_desktop&amp;rcm=ACoAAGNYwmMBHH05CVFu0KpJR4gGCaJ72HAoAEU</t>
  </si>
  <si>
    <t>2025-07-31T13:29:47.232Z</t>
  </si>
  <si>
    <t>https://www.linkedin.com/posts/littleredzombies_split-fiction-rader-hair-activity-7356677461302005760-RwHQ?utm_source=combined_share_message&amp;utm_medium=member_desktop&amp;rcm=ACoAAGNYwmMBHH05CVFu0KpJR4gGCaJ72HAoAEU</t>
  </si>
  <si>
    <t>2025-07-31T13:13:39.170Z</t>
  </si>
  <si>
    <t>https://www.linkedin.com/posts/littleredzombies_split-fiction-mio-hair-activity-7356673400955703296-eIMk?utm_source=combined_share_message&amp;utm_medium=member_desktop&amp;rcm=ACoAAGNYwmMBHH05CVFu0KpJR4gGCaJ72HAoAEU</t>
  </si>
  <si>
    <t>2025-07-31T13:05:30.476Z</t>
  </si>
  <si>
    <t>https://www.linkedin.com/posts/littleredzombies_split-fiction-zoe-the-fairy-hair-activity-7356671351224496130-cRrm?utm_source=combined_share_message&amp;utm_medium=member_desktop&amp;rcm=ACoAAGNYwmMBHH05CVFu0KpJR4gGCaJ72HAoAEU</t>
  </si>
  <si>
    <t>2025-07-25T09:35:39.955Z</t>
  </si>
  <si>
    <t>https://www.linkedin.com/posts/littleredzombies_alan-wake-ii-the-lake-house-dr-diana-activity-7354444215558311936-syWg?utm_source=combined_share_message&amp;utm_medium=member_desktop&amp;rcm=ACoAAGNYwmMBHH05CVFu0KpJR4gGCaJ72HAoAEU</t>
  </si>
  <si>
    <t>2025-07-24T07:04:17.120Z</t>
  </si>
  <si>
    <t>https://www.linkedin.com/posts/littleredzombies_alan-wake-ii-the-lake-house-fbc-hazmat-activity-7354043731521531905-WFHv?utm_source=combined_share_message&amp;utm_medium=member_desktop&amp;rcm=ACoAAGNYwmMBHH05CVFu0KpJR4gGCaJ72HAoAEU</t>
  </si>
  <si>
    <t>2025-09-16T12:43:52.678Z</t>
  </si>
  <si>
    <t>https://www.linkedin.com/posts/littleredzombies_tgs-tokyogameshow-tgs2025-activity-7373698137548500993-gNee?utm_source=combined_share_message&amp;utm_medium=member_desktop&amp;rcm=ACoAAFce_nsBbiRtt68DTPlmsCV_Z5I7to81vX8</t>
  </si>
  <si>
    <t>2025-09-10T13:35:02.838Z</t>
  </si>
  <si>
    <t>https://www.linkedin.com/posts/littleredzombies_gameart-3dart-characterart-activity-7371536687539281921--1C4?utm_source=combined_share_message&amp;utm_medium=member_desktop&amp;rcm=ACoAAFce_nsBbiRtt68DTPlmsCV_Z5I7to81vX8</t>
  </si>
  <si>
    <t>2025-09-09T13:46:24.246Z</t>
  </si>
  <si>
    <t>https://www.linkedin.com/posts/littleredzombies_gameart-3dart-characterart-activity-7371177157705916416-I8A8?utm_source=combined_share_message&amp;utm_medium=member_desktop&amp;rcm=ACoAAFce_nsBbiRtt68DTPlmsCV_Z5I7to81vX8</t>
  </si>
  <si>
    <t>2025-09-08T13:13:09.553Z</t>
  </si>
  <si>
    <t>https://www.linkedin.com/posts/littleredzombies_xds-xds2025-gamedev-activity-7370806403491536896-6QdO?utm_source=combined_share_message&amp;utm_medium=member_desktop&amp;rcm=ACoAAFce_nsBbiRtt68DTPlmsCV_Z5I7to81vX8</t>
  </si>
  <si>
    <t>2025-08-31T05:43:04.011Z</t>
  </si>
  <si>
    <t>https://www.linkedin.com/posts/littleredzombies_were-hiring-project-managers-little-activity-7367794031113793536-4C3-?utm_source=combined_share_message&amp;utm_medium=member_desktop&amp;rcm=ACoAAFce_nsBbiRtt68DTPlmsCV_Z5I7to81vX8</t>
  </si>
  <si>
    <t>2025-08-26T07:07:58.086Z</t>
  </si>
  <si>
    <t>https://www.linkedin.com/posts/littleredzombies_xds-xds2025-externaldevelopmentsummit-activity-7366003457884868609-ZncY?utm_source=combined_share_message&amp;utm_medium=member_desktop&amp;rcm=ACoAAFce_nsBbiRtt68DTPlmsCV_Z5I7to81vX8</t>
  </si>
  <si>
    <t>2025-08-21T12:36:58.693Z</t>
  </si>
  <si>
    <t>https://www.linkedin.com/posts/littleredzombies_pax-dei-blacksmith-activity-7364274316663795712-4NQr?utm_source=combined_share_message&amp;utm_medium=member_desktop&amp;rcm=ACoAAFce_nsBbiRtt68DTPlmsCV_Z5I7to81vX8</t>
  </si>
  <si>
    <t>2025-08-21T12:35:18.454Z</t>
  </si>
  <si>
    <t>https://www.linkedin.com/posts/littleredzombies_pax-dei-doublet-leather-armor-activity-7364273896230957056-LtJC?utm_source=combined_share_message&amp;utm_medium=member_desktop&amp;rcm=ACoAAFce_nsBbiRtt68DTPlmsCV_Z5I7to81vX8</t>
  </si>
  <si>
    <t>2025-08-21T12:28:45.343Z</t>
  </si>
  <si>
    <t>https://www.linkedin.com/posts/littleredzombies_pax-dei-medieval-armor-tabard-activity-7364272247403917313-is6O?utm_source=combined_share_message&amp;utm_medium=member_desktop&amp;rcm=ACoAAFce_nsBbiRtt68DTPlmsCV_Z5I7to81vX8</t>
  </si>
  <si>
    <t>2025-08-07T12:59:32.100Z</t>
  </si>
  <si>
    <t>https://www.linkedin.com/posts/littleredzombies_split-fiction-ice-king-fur-activity-7359206563145764864-eG6U?utm_source=combined_share_message&amp;utm_medium=member_desktop&amp;rcm=ACoAAFce_nsBbiRtt68DTPlmsCV_Z5I7to81vX8</t>
  </si>
  <si>
    <t>2025-12-08T14:46:11.155Z</t>
  </si>
  <si>
    <t>https://www.linkedin.com/posts/littleredzombies_gamedev-analytics-hiring-activity-7403807110196621312-jqKx?utm_source=combined_share_message&amp;utm_medium=member_desktop&amp;rcm=ACoAAFce_nsBbiRtt68DTPlmsCV_Z5I7to81vX8</t>
  </si>
  <si>
    <t>2025-11-27T11:37:49.701Z</t>
  </si>
  <si>
    <t>https://www.linkedin.com/posts/littleredzombies_migs2025-migs-gameart-activity-7399773441941409792-ul1g?utm_source=combined_share_message&amp;utm_medium=member_desktop&amp;rcm=ACoAAFce_nsBbiRtt68DTPlmsCV_Z5I7to81vX8</t>
  </si>
  <si>
    <t>2025-11-20T05:29:20.769Z</t>
  </si>
  <si>
    <t>https://www.linkedin.com/posts/littleredzombies_call-of-duty-black-ops-7-has-landed-discover-activity-7397143995300143104-NnA8?utm_source=combined_share_message&amp;utm_medium=member_desktop&amp;rcm=ACoAAFce_nsBbiRtt68DTPlmsCV_Z5I7to81vX8</t>
  </si>
  <si>
    <t>2025-11-17T14:23:12.179Z</t>
  </si>
  <si>
    <t>https://www.linkedin.com/posts/littleredzombies_callofduty-callofdutyblackops-callofdutyblackops7-activity-7396191181174444032-0KLd?utm_source=combined_share_message&amp;utm_medium=member_desktop&amp;rcm=ACoAAFce_nsBbiRtt68DTPlmsCV_Z5I7to81vX8</t>
  </si>
  <si>
    <t>2025-11-05T08:44:06.396Z</t>
  </si>
  <si>
    <t>https://www.linkedin.com/posts/littleredzombies_the-outer-worlds-2-has-landed-discover-activity-7391757190388314112-wprO?utm_source=combined_share_message&amp;utm_medium=member_desktop&amp;rcm=ACoAAFce_nsBbiRtt68DTPlmsCV_Z5I7to81vX8</t>
  </si>
  <si>
    <t>2025-11-04T10:37:48.463Z</t>
  </si>
  <si>
    <t>https://www.linkedin.com/posts/littleredzombies_migs-migs25-migs2025-activity-7391423416345493504-8MFQ?utm_source=combined_share_message&amp;utm_medium=member_desktop&amp;rcm=ACoAAFce_nsBbiRtt68DTPlmsCV_Z5I7to81vX8</t>
  </si>
  <si>
    <t>2025-11-01T15:25:00.380Z</t>
  </si>
  <si>
    <t>https://www.linkedin.com/posts/littleredzombies_littleredzombies-lrz-halloween-activity-7390408528647184384-Ra7S?utm_source=combined_share_message&amp;utm_medium=member_desktop&amp;rcm=ACoAAFce_nsBbiRtt68DTPlmsCV_Z5I7to81vX8</t>
  </si>
  <si>
    <t>2025-10-17T14:23:40.260Z</t>
  </si>
  <si>
    <t>https://www.linkedin.com/posts/littleredzombies_from-all-of-us-at-little-red-zombies-wishing-activity-7384957275121307648-FlXE?utm_source=combined_share_message&amp;utm_medium=member_desktop&amp;rcm=ACoAAFce_nsBbiRtt68DTPlmsCV_Z5I7to81vX8</t>
  </si>
  <si>
    <t>2025-10-17T05:56:41.108Z</t>
  </si>
  <si>
    <t>https://www.linkedin.com/posts/littleredzombies_were-proud-to-spotlight-little-red-zombies-activity-7384829687950135296-8kL_?utm_source=combined_share_message&amp;utm_medium=member_desktop&amp;rcm=ACoAAFce_nsBbiRtt68DTPlmsCV_Z5I7to81vX8</t>
  </si>
  <si>
    <t>2025-09-26T13:29:07.716Z</t>
  </si>
  <si>
    <t>https://www.linkedin.com/posts/littleredzombies_tgs-tgs2025-tokyogameshow-activity-7377333403899088897-2Amy?utm_source=combined_share_message&amp;utm_medium=member_desktop&amp;rcm=ACoAAFce_nsBbiRtt68DTPlmsCV_Z5I7to81vX8</t>
  </si>
  <si>
    <t>2026-03-17T12:28:39.221Z</t>
  </si>
  <si>
    <t>https://www.linkedin.com/posts/littleredzombies_hiring-facilitymanagement-operations-activity-7439648897771229187-1ekl?utm_source=combined_share_message&amp;utm_medium=member_desktop&amp;rcm=ACoAADzoKcQBgvVxEtgTp616StYABJvYyT5IbUY</t>
  </si>
  <si>
    <t>2026-03-16T05:25:53.740Z</t>
  </si>
  <si>
    <t>https://www.linkedin.com/posts/littleredzombies_were-excited-to-share-that-little-red-zombies-activity-7439180119367163904-PoOX?utm_source=combined_share_message&amp;utm_medium=member_desktop&amp;rcm=ACoAADzoKcQBgvVxEtgTp616StYABJvYyT5IbUY</t>
  </si>
  <si>
    <t>2026-02-16T14:18:29.533Z</t>
  </si>
  <si>
    <t>https://www.linkedin.com/posts/littleredzombies_were-hiring-hr-associate-on-site-activity-7429167291441008640-xjx2?utm_source=combined_share_message&amp;utm_medium=member_desktop&amp;rcm=ACoAADzoKcQBgvVxEtgTp616StYABJvYyT5IbUY</t>
  </si>
  <si>
    <t>2026-02-11T15:02:13.623Z</t>
  </si>
  <si>
    <t>https://www.linkedin.com/posts/littleredzombies_were-hiring-technical-animator-on-activity-7427366358344007680-lqWt?utm_source=combined_share_message&amp;utm_medium=member_desktop&amp;rcm=ACoAADzoKcQBgvVxEtgTp616StYABJvYyT5IbUY</t>
  </si>
  <si>
    <t>2026-02-10T13:31:42.085Z</t>
  </si>
  <si>
    <t>https://www.linkedin.com/posts/littleredzombies_gds-gamedevsummit-gds2026-activity-7426981188956856320-nkV7?utm_source=combined_share_message&amp;utm_medium=member_desktop&amp;rcm=ACoAADzoKcQBgvVxEtgTp616StYABJvYyT5IbUY</t>
  </si>
  <si>
    <t>2026-02-06T09:36:02.995Z</t>
  </si>
  <si>
    <t>https://www.linkedin.com/posts/littleredzombies_the-outer-worlds-2-hair-activity-7425472333852749824-SQWn?utm_source=combined_share_message&amp;utm_medium=member_desktop&amp;rcm=ACoAADzoKcQBgvVxEtgTp616StYABJvYyT5IbUY</t>
  </si>
  <si>
    <t>2026-01-23T12:17:59.370Z</t>
  </si>
  <si>
    <t>https://www.linkedin.com/posts/littleredzombies_gds-gamedevsummit-gds2026-activity-7420439657164726272-uBmf?utm_source=combined_share_message&amp;utm_medium=member_desktop&amp;rcm=ACoAADzoKcQBgvVxEtgTp616StYABJvYyT5IbUY</t>
  </si>
  <si>
    <t>2025-12-25T15:46:20.722Z</t>
  </si>
  <si>
    <t>https://www.linkedin.com/posts/littleredzombies_christmas-seasonsgreetings-littleredzombies-activity-7409982843533266944-7pV9?utm_source=combined_share_message&amp;utm_medium=member_desktop&amp;rcm=ACoAADzoKcQBgvVxEtgTp616StYABJvYyT5IbUY</t>
  </si>
  <si>
    <t>2025-12-12T14:59:38.353Z</t>
  </si>
  <si>
    <t>https://www.linkedin.com/posts/littleredzombies_hiring-humanresources-recruitment-activity-7405260047292825600-dZOV?utm_source=combined_share_message&amp;utm_medium=member_desktop&amp;rcm=ACoAADzoKcQBgvVxEtgTp616StYABJvYyT5IbUY</t>
  </si>
  <si>
    <t>2025-12-10T10:39:11.817Z</t>
  </si>
  <si>
    <t>https://www.linkedin.com/posts/littleredzombies_thegameawards-thegameawards2025-tga2025-activity-7404469729119170560-7vUY?utm_source=combined_share_message&amp;utm_medium=member_desktop&amp;rcm=ACoAADzoKcQBgvVxEtgTp616StYABJvYyT5IbUY</t>
  </si>
  <si>
    <t>2026-05-08T13:42:43.609Z</t>
  </si>
  <si>
    <t>https://www.linkedin.com/posts/littleredzombies_were-hiring-project-coordinator-hyderabad-activity-7458511707896791040-D6Sv?utm_source=combined_share_message&amp;utm_medium=member_desktop&amp;rcm=ACoAAAkSQb0Bsc94sZROmun7Rg4RHsXd8c7GfoA</t>
  </si>
  <si>
    <t>2026-05-07T03:00:04.927Z</t>
  </si>
  <si>
    <t>https://www.linkedin.com/posts/xds-spark_huge-congrats-to-the-xds-spark-members-who-ugcPost-7457849100961726464-kEvH?utm_source=combined_share_message&amp;utm_medium=member_desktop&amp;rcm=ACoAAAkSQb0Bsc94sZROmun7Rg4RHsXd8c7GfoA</t>
  </si>
  <si>
    <t>2026-04-29T04:50:52.915Z</t>
  </si>
  <si>
    <t>https://www.linkedin.com/posts/xds-spark_character-work-at-this-level-shapes-the-final-ugcPost-7454921593027420160-Lyek?utm_source=combined_share_message&amp;utm_medium=member_desktop&amp;rcm=ACoAAAkSQb0Bsc94sZROmun7Rg4RHsXd8c7GfoA</t>
  </si>
  <si>
    <t>2026-04-10T13:45:13.914Z</t>
  </si>
  <si>
    <t>https://www.linkedin.com/posts/littleredzombies_were-hiring-it-specialist-network-activity-7448365478084771840-ou11?utm_source=combined_share_message&amp;utm_medium=member_desktop&amp;rcm=ACoAAAkSQb0Bsc94sZROmun7Rg4RHsXd8c7GfoA</t>
  </si>
  <si>
    <t>2026-04-09T17:12:38.605Z</t>
  </si>
  <si>
    <t>https://www.linkedin.com/posts/littleredzombies_celebrating-our-latest-platinum-partners-activity-7448055287036497920-5Orl?utm_source=combined_share_message&amp;utm_medium=member_desktop&amp;rcm=ACoAAAkSQb0Bsc94sZROmun7Rg4RHsXd8c7GfoA</t>
  </si>
  <si>
    <t>2026-04-02T05:25:07.602Z</t>
  </si>
  <si>
    <t>https://www.linkedin.com/posts/littleredzombies_xds2026-externaldevelopment-gamedev-activity-7445340519565770752-jWSK?utm_source=combined_share_message&amp;utm_medium=member_desktop&amp;rcm=ACoAAAkSQb0Bsc94sZROmun7Rg4RHsXd8c7GfoA</t>
  </si>
  <si>
    <t>2026-03-31T10:00:42.584Z</t>
  </si>
  <si>
    <t>https://www.linkedin.com/posts/littleredzombies_avowed-fauna-activity-7444685096575578112-SPlf?utm_source=combined_share_message&amp;utm_medium=member_desktop&amp;rcm=ACoAAAkSQb0Bsc94sZROmun7Rg4RHsXd8c7GfoA</t>
  </si>
  <si>
    <t>2026-03-31T09:54:26.651Z</t>
  </si>
  <si>
    <t>https://www.linkedin.com/posts/littleredzombies_avowed-creatures-activity-7444683519798288384-yTYK?utm_source=combined_share_message&amp;utm_medium=member_desktop&amp;rcm=ACoAAAkSQb0Bsc94sZROmun7Rg4RHsXd8c7GfoA</t>
  </si>
  <si>
    <t>2026-03-30T09:53:58.597Z</t>
  </si>
  <si>
    <t>https://www.linkedin.com/posts/littleredzombies_avowed-hair-contribution-activity-7444321014265757696-wJrb?utm_source=combined_share_message&amp;utm_medium=member_desktop&amp;rcm=ACoAAAkSQb0Bsc94sZROmun7Rg4RHsXd8c7GfoA</t>
  </si>
  <si>
    <t>2026-03-27T14:48:07.505Z</t>
  </si>
  <si>
    <t>https://www.linkedin.com/posts/littleredzombies_were-hiring-visual-designer-on-site-activity-7443307875554476032-xjAh?utm_source=combined_share_message&amp;utm_medium=member_desktop&amp;rcm=ACoAAAkSQb0Bsc94sZROmun7Rg4RHsXd8c7GfoA</t>
  </si>
  <si>
    <t>X</t>
  </si>
  <si>
    <t>Wed Jan 31 13:57:29 +0000 2024</t>
  </si>
  <si>
    <t>https://x.com/LittleRedZombie/status/1752692581329441185</t>
  </si>
  <si>
    <t>Mon Dec 25 09:08:29 +0000 2023</t>
  </si>
  <si>
    <t>https://x.com/LittleRedZombie/status/1739211500571726257</t>
  </si>
  <si>
    <t>Sun Dec 24 03:42:39 +0000 2023</t>
  </si>
  <si>
    <t>https://x.com/LittleRedZombie/status/1738767116055007429</t>
  </si>
  <si>
    <t>Sat Dec 23 08:15:16 +0000 2023</t>
  </si>
  <si>
    <t>https://x.com/LittleRedZombie/status/1738473331702268151</t>
  </si>
  <si>
    <t>Fri Dec 22 14:42:43 +0000 2023</t>
  </si>
  <si>
    <t>https://x.com/LittleRedZombie/status/1738208448838545565</t>
  </si>
  <si>
    <t>Thu Dec 14 05:08:39 +0000 2023</t>
  </si>
  <si>
    <t>https://x.com/LittleRedZombie/status/1735164879970209900</t>
  </si>
  <si>
    <t>Fri Dec 01 13:57:01 +0000 2023</t>
  </si>
  <si>
    <t>https://x.com/LittleRedZombie/status/1730586803181130164</t>
  </si>
  <si>
    <t>Fri Dec 01 13:42:58 +0000 2023</t>
  </si>
  <si>
    <t>https://x.com/LittleRedZombie/status/1730583268758851828</t>
  </si>
  <si>
    <t>Thu Nov 30 09:03:27 +0000 2023</t>
  </si>
  <si>
    <t>https://x.com/LittleRedZombie/status/1730150536781897761</t>
  </si>
  <si>
    <t>ArtStation</t>
  </si>
  <si>
    <t>21/03/2020</t>
  </si>
  <si>
    <t>https://www.artstation.com/artwork/gJrOym</t>
  </si>
  <si>
    <t>31/07/2025</t>
  </si>
  <si>
    <t>https://www.artstation.com/artwork/lGYKya</t>
  </si>
  <si>
    <t>https://www.artstation.com/artwork/EzdQ2n</t>
  </si>
  <si>
    <t>https://www.artstation.com/artwork/3Egkmo</t>
  </si>
  <si>
    <t>https://www.artstation.com/artwork/GvPYyW</t>
  </si>
  <si>
    <t>https://www.artstation.com/artwork/y4PenK</t>
  </si>
  <si>
    <t>https://www.artstation.com/artwork/OvKAWe</t>
  </si>
  <si>
    <t>https://www.artstation.com/artwork/qJXaDL</t>
  </si>
  <si>
    <t>https://www.artstation.com/artwork/8Bg94m</t>
  </si>
  <si>
    <t>https://www.artstation.com/artwork/Jr5Amm</t>
  </si>
  <si>
    <t>17/4/2025</t>
  </si>
  <si>
    <t>https://www.artstation.com/artwork/mAgBzE</t>
  </si>
  <si>
    <t>https://www.artstation.com/artwork/OvJnyg</t>
  </si>
  <si>
    <t>https://www.artstation.com/artwork/8BzKWn</t>
  </si>
  <si>
    <t>15/4/2025</t>
  </si>
  <si>
    <t>https://www.artstation.com/artwork/RKJ1YA</t>
  </si>
  <si>
    <t>https://www.artstation.com/artwork/K3EwJx</t>
  </si>
  <si>
    <t>https://www.artstation.com/artwork/rlWnde</t>
  </si>
  <si>
    <t>24/7/2025</t>
  </si>
  <si>
    <t>https://www.artstation.com/artwork/3Egow2</t>
  </si>
  <si>
    <t>https://www.artstation.com/artwork/WBAQ8y</t>
  </si>
  <si>
    <t>https://www.artstation.com/artwork/YBAQ6P</t>
  </si>
  <si>
    <t>https://www.artstation.com/artwork/WBAQk2</t>
  </si>
  <si>
    <t>https://www.artstation.com/artwork/gREQl8</t>
  </si>
  <si>
    <t>https://www.artstation.com/artwork/WXR1WE</t>
  </si>
  <si>
    <t>30/3/2026</t>
  </si>
  <si>
    <t>https://www.artstation.com/artwork/bg9Nor</t>
  </si>
  <si>
    <t>https://www.artstation.com/artwork/OvL4ee</t>
  </si>
  <si>
    <t>https://www.artstation.com/artwork/oJNekO</t>
  </si>
  <si>
    <t>https://www.artstation.com/artwork/98OJ6o</t>
  </si>
  <si>
    <t>https://www.artstation.com/artwork/XJxKgn</t>
  </si>
  <si>
    <t>https://www.artstation.com/artwork/eRxvdX</t>
  </si>
  <si>
    <t>https://www.artstation.com/artwork/nJWxQX</t>
  </si>
  <si>
    <t>18/3/2025</t>
  </si>
  <si>
    <t>https://www.artstation.com/artwork/nJ1nl6</t>
  </si>
  <si>
    <t>17/3/2025</t>
  </si>
  <si>
    <t>https://www.artstation.com/artwork/lGLoGG</t>
  </si>
  <si>
    <t>https://www.artstation.com/artwork/EzOxQe</t>
  </si>
  <si>
    <t>https://www.artstation.com/artwork/P6NPYB</t>
  </si>
  <si>
    <t>13/3/2025</t>
  </si>
  <si>
    <t>https://www.artstation.com/artwork/x325LO</t>
  </si>
  <si>
    <t>28/3/2025</t>
  </si>
  <si>
    <t>https://www.artstation.com/artwork/K3EwR9</t>
  </si>
  <si>
    <t>29/3/2025</t>
  </si>
  <si>
    <t>https://www.artstation.com/artwork/XJGv1w</t>
  </si>
  <si>
    <t>https://www.artstation.com/artwork/zxXeDQ</t>
  </si>
  <si>
    <t>https://www.artstation.com/artwork/V2Gvyb</t>
  </si>
  <si>
    <t>https://www.artstation.com/artwork/YGrvvP</t>
  </si>
  <si>
    <t>https://www.artstation.com/artwork/bgrvBm</t>
  </si>
  <si>
    <t>https://www.artstation.com/artwork/AZvLoV</t>
  </si>
  <si>
    <t>https://www.artstation.com/artwork/4NyQWl</t>
  </si>
  <si>
    <t>https://www.artstation.com/artwork/dy4wk3</t>
  </si>
  <si>
    <t>https://www.artstation.com/artwork/4NyQG1</t>
  </si>
  <si>
    <t>https://www.artstation.com/artwork/rl08wO</t>
  </si>
  <si>
    <t>https://www.artstation.com/artwork/WXGoED</t>
  </si>
  <si>
    <t>https://www.artstation.com/artwork/5W19zE</t>
  </si>
  <si>
    <t>21/4/2025</t>
  </si>
  <si>
    <t>https://www.artstation.com/artwork/4NLNmW</t>
  </si>
  <si>
    <t>https://www.artstation.com/artwork/bg4gGr</t>
  </si>
  <si>
    <t>https://www.artstation.com/artwork/0lqlyw</t>
  </si>
  <si>
    <t>25/9/2021</t>
  </si>
  <si>
    <t>https://www.artstation.com/artwork/Xnm1XL</t>
  </si>
  <si>
    <t>30/9/2021</t>
  </si>
  <si>
    <t>https://www.artstation.com/artwork/aY2VN2</t>
  </si>
  <si>
    <t>28/09/2021</t>
  </si>
  <si>
    <t>https://www.artstation.com/artwork/9mA5dy</t>
  </si>
  <si>
    <t>20/12/2021</t>
  </si>
  <si>
    <t>https://www.artstation.com/artwork/8wbkBm</t>
  </si>
  <si>
    <t>https://www.artstation.com/artwork/qJb1PP</t>
  </si>
  <si>
    <t>https://www.artstation.com/artwork/DLO4WG</t>
  </si>
  <si>
    <t>https://www.artstation.com/artwork/mAW4Z9</t>
  </si>
  <si>
    <t>https://www.artstation.com/artwork/0lLJ54</t>
  </si>
  <si>
    <t>https://www.artstation.com/artwork/3E8J9A</t>
  </si>
  <si>
    <t>https://www.artstation.com/artwork/XJxKJ3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</si>
</sst>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readingOrder="0"/>
    </xf>
    <xf borderId="3" fillId="0" fontId="3" numFmtId="164" xfId="0" applyAlignment="1" applyBorder="1" applyFont="1" applyNumberFormat="1">
      <alignment readingOrder="0" shrinkToFit="0" vertical="bottom" wrapText="0"/>
    </xf>
    <xf borderId="2" fillId="0" fontId="3" numFmtId="164" xfId="0" applyAlignment="1" applyBorder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3" fillId="0" fontId="2" numFmtId="0" xfId="0" applyBorder="1" applyFont="1"/>
    <xf borderId="0" fillId="0" fontId="3" numFmtId="0" xfId="0" applyAlignment="1" applyFon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2" fillId="0" fontId="2" numFmtId="0" xfId="0" applyBorder="1" applyFont="1"/>
    <xf borderId="3" fillId="0" fontId="4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/>
    </xf>
    <xf borderId="3" fillId="0" fontId="3" numFmtId="0" xfId="0" applyAlignment="1" applyBorder="1" applyFont="1">
      <alignment horizontal="right"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/>
    </xf>
    <xf borderId="4" fillId="0" fontId="3" numFmtId="164" xfId="0" applyAlignment="1" applyBorder="1" applyFont="1" applyNumberFormat="1">
      <alignment horizontal="right" readingOrder="0" shrinkToFit="0" vertical="bottom" wrapText="0"/>
    </xf>
    <xf borderId="5" fillId="0" fontId="3" numFmtId="164" xfId="0" applyAlignment="1" applyBorder="1" applyFont="1" applyNumberFormat="1">
      <alignment readingOrder="0" shrinkToFit="0" vertical="bottom" wrapText="0"/>
    </xf>
    <xf borderId="4" fillId="0" fontId="3" numFmtId="0" xfId="0" applyAlignment="1" applyBorder="1" applyFont="1">
      <alignment horizontal="right" readingOrder="0" shrinkToFit="0" vertical="bottom" wrapText="0"/>
    </xf>
    <xf borderId="5" fillId="0" fontId="3" numFmtId="0" xfId="0" applyAlignment="1" applyBorder="1" applyFont="1">
      <alignment horizontal="right" readingOrder="0" shrinkToFit="0" vertical="bottom" wrapText="0"/>
    </xf>
    <xf borderId="4" fillId="0" fontId="2" numFmtId="0" xfId="0" applyBorder="1" applyFont="1"/>
    <xf borderId="4" fillId="0" fontId="5" numFmtId="0" xfId="0" applyAlignment="1" applyBorder="1" applyFont="1">
      <alignment readingOrder="0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2" pivot="0" name="engagemen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J26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ngag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IB2MUKPVJK/" TargetMode="External"/><Relationship Id="rId190" Type="http://schemas.openxmlformats.org/officeDocument/2006/relationships/hyperlink" Target="https://x.com/LittleRedZombie/status/1739211500571726257" TargetMode="External"/><Relationship Id="rId42" Type="http://schemas.openxmlformats.org/officeDocument/2006/relationships/hyperlink" Target="https://www.instagram.com/p/DH6ERglP4HC/" TargetMode="External"/><Relationship Id="rId41" Type="http://schemas.openxmlformats.org/officeDocument/2006/relationships/hyperlink" Target="https://www.instagram.com/p/DIMFbNuPaGq/" TargetMode="External"/><Relationship Id="rId44" Type="http://schemas.openxmlformats.org/officeDocument/2006/relationships/hyperlink" Target="https://www.instagram.com/p/DIBfKnjPaca/" TargetMode="External"/><Relationship Id="rId194" Type="http://schemas.openxmlformats.org/officeDocument/2006/relationships/hyperlink" Target="https://x.com/LittleRedZombie/status/1735164879970209900" TargetMode="External"/><Relationship Id="rId43" Type="http://schemas.openxmlformats.org/officeDocument/2006/relationships/hyperlink" Target="https://www.instagram.com/p/DIRLk-xvI3R/" TargetMode="External"/><Relationship Id="rId193" Type="http://schemas.openxmlformats.org/officeDocument/2006/relationships/hyperlink" Target="https://x.com/LittleRedZombie/status/1738208448838545565" TargetMode="External"/><Relationship Id="rId46" Type="http://schemas.openxmlformats.org/officeDocument/2006/relationships/hyperlink" Target="https://www.instagram.com/p/DH6DdBfv4KQ/" TargetMode="External"/><Relationship Id="rId192" Type="http://schemas.openxmlformats.org/officeDocument/2006/relationships/hyperlink" Target="https://x.com/LittleRedZombie/status/1738473331702268151" TargetMode="External"/><Relationship Id="rId45" Type="http://schemas.openxmlformats.org/officeDocument/2006/relationships/hyperlink" Target="https://www.instagram.com/p/DH_NakmPF2P/" TargetMode="External"/><Relationship Id="rId191" Type="http://schemas.openxmlformats.org/officeDocument/2006/relationships/hyperlink" Target="https://x.com/LittleRedZombie/status/1738767116055007429" TargetMode="External"/><Relationship Id="rId48" Type="http://schemas.openxmlformats.org/officeDocument/2006/relationships/hyperlink" Target="https://www.instagram.com/p/DHTce04vyrf/" TargetMode="External"/><Relationship Id="rId187" Type="http://schemas.openxmlformats.org/officeDocument/2006/relationships/hyperlink" Target="https://www.linkedin.com/posts/littleredzombies_avowed-hair-contribution-activity-7444321014265757696-wJrb?utm_source=combined_share_message&amp;utm_medium=member_desktop&amp;rcm=ACoAAAkSQb0Bsc94sZROmun7Rg4RHsXd8c7GfoA" TargetMode="External"/><Relationship Id="rId47" Type="http://schemas.openxmlformats.org/officeDocument/2006/relationships/hyperlink" Target="https://www.instagram.com/p/DNDoON_vXWF/" TargetMode="External"/><Relationship Id="rId186" Type="http://schemas.openxmlformats.org/officeDocument/2006/relationships/hyperlink" Target="https://www.linkedin.com/posts/littleredzombies_avowed-creatures-activity-7444683519798288384-yTYK?utm_source=combined_share_message&amp;utm_medium=member_desktop&amp;rcm=ACoAAAkSQb0Bsc94sZROmun7Rg4RHsXd8c7GfoA" TargetMode="External"/><Relationship Id="rId185" Type="http://schemas.openxmlformats.org/officeDocument/2006/relationships/hyperlink" Target="https://www.linkedin.com/posts/littleredzombies_avowed-fauna-activity-7444685096575578112-SPlf?utm_source=combined_share_message&amp;utm_medium=member_desktop&amp;rcm=ACoAAAkSQb0Bsc94sZROmun7Rg4RHsXd8c7GfoA" TargetMode="External"/><Relationship Id="rId49" Type="http://schemas.openxmlformats.org/officeDocument/2006/relationships/hyperlink" Target="https://www.instagram.com/p/DHWJb3zyxm5/" TargetMode="External"/><Relationship Id="rId184" Type="http://schemas.openxmlformats.org/officeDocument/2006/relationships/hyperlink" Target="https://www.linkedin.com/posts/littleredzombies_xds2026-externaldevelopment-gamedev-activity-7445340519565770752-jWSK?utm_source=combined_share_message&amp;utm_medium=member_desktop&amp;rcm=ACoAAAkSQb0Bsc94sZROmun7Rg4RHsXd8c7GfoA" TargetMode="External"/><Relationship Id="rId189" Type="http://schemas.openxmlformats.org/officeDocument/2006/relationships/hyperlink" Target="https://x.com/LittleRedZombie/status/1752692581329441185" TargetMode="External"/><Relationship Id="rId188" Type="http://schemas.openxmlformats.org/officeDocument/2006/relationships/hyperlink" Target="https://www.linkedin.com/posts/littleredzombies_were-hiring-visual-designer-on-site-activity-7443307875554476032-xjAh?utm_source=combined_share_message&amp;utm_medium=member_desktop&amp;rcm=ACoAAAkSQb0Bsc94sZROmun7Rg4RHsXd8c7GfoA" TargetMode="External"/><Relationship Id="rId31" Type="http://schemas.openxmlformats.org/officeDocument/2006/relationships/hyperlink" Target="https://www.instagram.com/p/DPEVVGrEuen/" TargetMode="External"/><Relationship Id="rId30" Type="http://schemas.openxmlformats.org/officeDocument/2006/relationships/hyperlink" Target="https://www.instagram.com/p/DNnj5ZHPWM3/" TargetMode="External"/><Relationship Id="rId33" Type="http://schemas.openxmlformats.org/officeDocument/2006/relationships/hyperlink" Target="https://www.instagram.com/p/DT2noQ_kqS4/" TargetMode="External"/><Relationship Id="rId183" Type="http://schemas.openxmlformats.org/officeDocument/2006/relationships/hyperlink" Target="https://www.linkedin.com/posts/littleredzombies_celebrating-our-latest-platinum-partners-activity-7448055287036497920-5Orl?utm_source=combined_share_message&amp;utm_medium=member_desktop&amp;rcm=ACoAAAkSQb0Bsc94sZROmun7Rg4RHsXd8c7GfoA" TargetMode="External"/><Relationship Id="rId32" Type="http://schemas.openxmlformats.org/officeDocument/2006/relationships/hyperlink" Target="https://www.instagram.com/p/DNDoYiCPpMG/" TargetMode="External"/><Relationship Id="rId182" Type="http://schemas.openxmlformats.org/officeDocument/2006/relationships/hyperlink" Target="https://www.linkedin.com/posts/littleredzombies_were-hiring-it-specialist-network-activity-7448365478084771840-ou11?utm_source=combined_share_message&amp;utm_medium=member_desktop&amp;rcm=ACoAAAkSQb0Bsc94sZROmun7Rg4RHsXd8c7GfoA" TargetMode="External"/><Relationship Id="rId35" Type="http://schemas.openxmlformats.org/officeDocument/2006/relationships/hyperlink" Target="https://www.instagram.com/p/DMxmzVkPUyr/" TargetMode="External"/><Relationship Id="rId181" Type="http://schemas.openxmlformats.org/officeDocument/2006/relationships/hyperlink" Target="https://www.linkedin.com/posts/xds-spark_character-work-at-this-level-shapes-the-final-ugcPost-7454921593027420160-Lyek?utm_source=combined_share_message&amp;utm_medium=member_desktop&amp;rcm=ACoAAAkSQb0Bsc94sZROmun7Rg4RHsXd8c7GfoA" TargetMode="External"/><Relationship Id="rId34" Type="http://schemas.openxmlformats.org/officeDocument/2006/relationships/hyperlink" Target="https://www.instagram.com/p/DMz0ufwvrOT/" TargetMode="External"/><Relationship Id="rId180" Type="http://schemas.openxmlformats.org/officeDocument/2006/relationships/hyperlink" Target="https://www.linkedin.com/posts/xds-spark_huge-congrats-to-the-xds-spark-members-who-ugcPost-7457849100961726464-kEvH?utm_source=combined_share_message&amp;utm_medium=member_desktop&amp;rcm=ACoAAAkSQb0Bsc94sZROmun7Rg4RHsXd8c7GfoA" TargetMode="External"/><Relationship Id="rId37" Type="http://schemas.openxmlformats.org/officeDocument/2006/relationships/hyperlink" Target="https://www.instagram.com/p/DH8eMVtPqmB/" TargetMode="External"/><Relationship Id="rId176" Type="http://schemas.openxmlformats.org/officeDocument/2006/relationships/hyperlink" Target="https://www.linkedin.com/posts/littleredzombies_christmas-seasonsgreetings-littleredzombies-activity-7409982843533266944-7pV9?utm_source=combined_share_message&amp;utm_medium=member_desktop&amp;rcm=ACoAADzoKcQBgvVxEtgTp616StYABJvYyT5IbUY" TargetMode="External"/><Relationship Id="rId36" Type="http://schemas.openxmlformats.org/officeDocument/2006/relationships/hyperlink" Target="https://www.instagram.com/p/DH5yq6fPXaw/" TargetMode="External"/><Relationship Id="rId175" Type="http://schemas.openxmlformats.org/officeDocument/2006/relationships/hyperlink" Target="https://www.linkedin.com/posts/littleredzombies_gds-gamedevsummit-gds2026-activity-7420439657164726272-uBmf?utm_source=combined_share_message&amp;utm_medium=member_desktop&amp;rcm=ACoAADzoKcQBgvVxEtgTp616StYABJvYyT5IbUY" TargetMode="External"/><Relationship Id="rId39" Type="http://schemas.openxmlformats.org/officeDocument/2006/relationships/hyperlink" Target="https://www.instagram.com/p/DH8w7O_qjra/" TargetMode="External"/><Relationship Id="rId174" Type="http://schemas.openxmlformats.org/officeDocument/2006/relationships/hyperlink" Target="https://www.linkedin.com/posts/littleredzombies_the-outer-worlds-2-hair-activity-7425472333852749824-SQWn?utm_source=combined_share_message&amp;utm_medium=member_desktop&amp;rcm=ACoAADzoKcQBgvVxEtgTp616StYABJvYyT5IbUY" TargetMode="External"/><Relationship Id="rId38" Type="http://schemas.openxmlformats.org/officeDocument/2006/relationships/hyperlink" Target="https://www.instagram.com/p/DIeE5rSPYqu/" TargetMode="External"/><Relationship Id="rId173" Type="http://schemas.openxmlformats.org/officeDocument/2006/relationships/hyperlink" Target="https://www.linkedin.com/posts/littleredzombies_gds-gamedevsummit-gds2026-activity-7426981188956856320-nkV7?utm_source=combined_share_message&amp;utm_medium=member_desktop&amp;rcm=ACoAADzoKcQBgvVxEtgTp616StYABJvYyT5IbUY" TargetMode="External"/><Relationship Id="rId179" Type="http://schemas.openxmlformats.org/officeDocument/2006/relationships/hyperlink" Target="https://www.linkedin.com/posts/littleredzombies_were-hiring-project-coordinator-hyderabad-activity-7458511707896791040-D6Sv?utm_source=combined_share_message&amp;utm_medium=member_desktop&amp;rcm=ACoAAAkSQb0Bsc94sZROmun7Rg4RHsXd8c7GfoA" TargetMode="External"/><Relationship Id="rId178" Type="http://schemas.openxmlformats.org/officeDocument/2006/relationships/hyperlink" Target="https://www.linkedin.com/posts/littleredzombies_thegameawards-thegameawards2025-tga2025-activity-7404469729119170560-7vUY?utm_source=combined_share_message&amp;utm_medium=member_desktop&amp;rcm=ACoAADzoKcQBgvVxEtgTp616StYABJvYyT5IbUY" TargetMode="External"/><Relationship Id="rId177" Type="http://schemas.openxmlformats.org/officeDocument/2006/relationships/hyperlink" Target="https://www.linkedin.com/posts/littleredzombies_hiring-humanresources-recruitment-activity-7405260047292825600-dZOV?utm_source=combined_share_message&amp;utm_medium=member_desktop&amp;rcm=ACoAADzoKcQBgvVxEtgTp616StYABJvYyT5IbUY" TargetMode="External"/><Relationship Id="rId20" Type="http://schemas.openxmlformats.org/officeDocument/2006/relationships/hyperlink" Target="https://www.instagram.com/p/DMIQCNGxgkT/" TargetMode="External"/><Relationship Id="rId22" Type="http://schemas.openxmlformats.org/officeDocument/2006/relationships/hyperlink" Target="https://www.instagram.com/p/DMxnGjHvuoM/" TargetMode="External"/><Relationship Id="rId21" Type="http://schemas.openxmlformats.org/officeDocument/2006/relationships/hyperlink" Target="https://www.instagram.com/p/DMz1j-NPtKw/" TargetMode="External"/><Relationship Id="rId24" Type="http://schemas.openxmlformats.org/officeDocument/2006/relationships/hyperlink" Target="https://www.instagram.com/p/DMNlwlEvy6R/" TargetMode="External"/><Relationship Id="rId23" Type="http://schemas.openxmlformats.org/officeDocument/2006/relationships/hyperlink" Target="https://www.instagram.com/p/DMhrDvGPEat/" TargetMode="External"/><Relationship Id="rId26" Type="http://schemas.openxmlformats.org/officeDocument/2006/relationships/hyperlink" Target="https://www.instagram.com/p/DMxniOFPeun/" TargetMode="External"/><Relationship Id="rId25" Type="http://schemas.openxmlformats.org/officeDocument/2006/relationships/hyperlink" Target="https://www.instagram.com/p/DMe16yyPFsC/" TargetMode="External"/><Relationship Id="rId28" Type="http://schemas.openxmlformats.org/officeDocument/2006/relationships/hyperlink" Target="https://www.instagram.com/p/DMe2eT4PLoV/" TargetMode="External"/><Relationship Id="rId27" Type="http://schemas.openxmlformats.org/officeDocument/2006/relationships/hyperlink" Target="https://www.instagram.com/p/DIjQVQWPXxk/" TargetMode="External"/><Relationship Id="rId29" Type="http://schemas.openxmlformats.org/officeDocument/2006/relationships/hyperlink" Target="https://www.instagram.com/p/DQodvqxkmtx/" TargetMode="External"/><Relationship Id="rId11" Type="http://schemas.openxmlformats.org/officeDocument/2006/relationships/hyperlink" Target="https://www.instagram.com/p/DNnjiykvUhq/" TargetMode="External"/><Relationship Id="rId10" Type="http://schemas.openxmlformats.org/officeDocument/2006/relationships/hyperlink" Target="https://www.instagram.com/p/DOqfG63Euxl/" TargetMode="External"/><Relationship Id="rId13" Type="http://schemas.openxmlformats.org/officeDocument/2006/relationships/hyperlink" Target="https://www.instagram.com/p/DP6YhSsku6r/" TargetMode="External"/><Relationship Id="rId12" Type="http://schemas.openxmlformats.org/officeDocument/2006/relationships/hyperlink" Target="https://www.instagram.com/p/DNDq8MMqoad/" TargetMode="External"/><Relationship Id="rId15" Type="http://schemas.openxmlformats.org/officeDocument/2006/relationships/hyperlink" Target="https://www.instagram.com/p/DQhLQ9xkkqD/" TargetMode="External"/><Relationship Id="rId198" Type="http://schemas.openxmlformats.org/officeDocument/2006/relationships/hyperlink" Target="https://x.com/LittleRedZombie/status/1752692581329441185" TargetMode="External"/><Relationship Id="rId14" Type="http://schemas.openxmlformats.org/officeDocument/2006/relationships/hyperlink" Target="https://www.instagram.com/p/DNnkStwvakl/" TargetMode="External"/><Relationship Id="rId197" Type="http://schemas.openxmlformats.org/officeDocument/2006/relationships/hyperlink" Target="https://x.com/LittleRedZombie/status/1730150536781897761" TargetMode="External"/><Relationship Id="rId17" Type="http://schemas.openxmlformats.org/officeDocument/2006/relationships/hyperlink" Target="https://www.instagram.com/p/DRjy3agEixU/" TargetMode="External"/><Relationship Id="rId196" Type="http://schemas.openxmlformats.org/officeDocument/2006/relationships/hyperlink" Target="https://x.com/LittleRedZombie/status/1730583268758851828" TargetMode="External"/><Relationship Id="rId16" Type="http://schemas.openxmlformats.org/officeDocument/2006/relationships/hyperlink" Target="https://www.instagram.com/p/DOV_mVfkrsC/" TargetMode="External"/><Relationship Id="rId195" Type="http://schemas.openxmlformats.org/officeDocument/2006/relationships/hyperlink" Target="https://x.com/LittleRedZombie/status/1730586803181130164" TargetMode="External"/><Relationship Id="rId19" Type="http://schemas.openxmlformats.org/officeDocument/2006/relationships/hyperlink" Target="https://www.instagram.com/p/DV7xZFnkoNz/" TargetMode="External"/><Relationship Id="rId18" Type="http://schemas.openxmlformats.org/officeDocument/2006/relationships/hyperlink" Target="https://www.instagram.com/p/DUbBPEBEk9K/" TargetMode="External"/><Relationship Id="rId199" Type="http://schemas.openxmlformats.org/officeDocument/2006/relationships/hyperlink" Target="https://x.com/LittleRedZombie/status/1730586803181130164" TargetMode="External"/><Relationship Id="rId84" Type="http://schemas.openxmlformats.org/officeDocument/2006/relationships/hyperlink" Target="https://www.instagram.com/p/C3IIrCsv9yr/" TargetMode="External"/><Relationship Id="rId83" Type="http://schemas.openxmlformats.org/officeDocument/2006/relationships/hyperlink" Target="https://www.instagram.com/p/C-8NVItSB6V/" TargetMode="External"/><Relationship Id="rId86" Type="http://schemas.openxmlformats.org/officeDocument/2006/relationships/hyperlink" Target="https://www.instagram.com/p/DBjc0pEPmCU/" TargetMode="External"/><Relationship Id="rId85" Type="http://schemas.openxmlformats.org/officeDocument/2006/relationships/hyperlink" Target="https://www.instagram.com/p/C7O_i2bPP-K/" TargetMode="External"/><Relationship Id="rId88" Type="http://schemas.openxmlformats.org/officeDocument/2006/relationships/hyperlink" Target="https://www.instagram.com/p/C8tWmLvvLJU/" TargetMode="External"/><Relationship Id="rId150" Type="http://schemas.openxmlformats.org/officeDocument/2006/relationships/hyperlink" Target="https://www.linkedin.com/posts/littleredzombies_gameart-3dart-characterart-activity-7371536687539281921--1C4?utm_source=combined_share_message&amp;utm_medium=member_desktop&amp;rcm=ACoAAFce_nsBbiRtt68DTPlmsCV_Z5I7to81vX8" TargetMode="External"/><Relationship Id="rId87" Type="http://schemas.openxmlformats.org/officeDocument/2006/relationships/hyperlink" Target="https://www.instagram.com/p/DBydd8SP-Xm/" TargetMode="External"/><Relationship Id="rId89" Type="http://schemas.openxmlformats.org/officeDocument/2006/relationships/hyperlink" Target="https://www.instagram.com/p/DHbQZH-vAkF/" TargetMode="External"/><Relationship Id="rId80" Type="http://schemas.openxmlformats.org/officeDocument/2006/relationships/hyperlink" Target="https://www.instagram.com/p/DHDr8FMvhuG/" TargetMode="External"/><Relationship Id="rId82" Type="http://schemas.openxmlformats.org/officeDocument/2006/relationships/hyperlink" Target="https://www.instagram.com/p/DGNX7R7qtW3/" TargetMode="External"/><Relationship Id="rId81" Type="http://schemas.openxmlformats.org/officeDocument/2006/relationships/hyperlink" Target="https://www.instagram.com/p/DHvwBMRv-r6/" TargetMode="External"/><Relationship Id="rId1" Type="http://schemas.openxmlformats.org/officeDocument/2006/relationships/hyperlink" Target="https://www.instagram.com/p/DSFIFKpEmJE/" TargetMode="External"/><Relationship Id="rId2" Type="http://schemas.openxmlformats.org/officeDocument/2006/relationships/hyperlink" Target="https://www.instagram.com/p/DWgzWT3krsg/" TargetMode="External"/><Relationship Id="rId3" Type="http://schemas.openxmlformats.org/officeDocument/2006/relationships/hyperlink" Target="https://www.instagram.com/p/DRKVsCKEjL9/" TargetMode="External"/><Relationship Id="rId149" Type="http://schemas.openxmlformats.org/officeDocument/2006/relationships/hyperlink" Target="https://www.linkedin.com/posts/littleredzombies_tgs-tokyogameshow-tgs2025-activity-7373698137548500993-gNee?utm_source=combined_share_message&amp;utm_medium=member_desktop&amp;rcm=ACoAAFce_nsBbiRtt68DTPlmsCV_Z5I7to81vX8" TargetMode="External"/><Relationship Id="rId4" Type="http://schemas.openxmlformats.org/officeDocument/2006/relationships/hyperlink" Target="https://www.instagram.com/p/DWgyRJ5ks-I/" TargetMode="External"/><Relationship Id="rId148" Type="http://schemas.openxmlformats.org/officeDocument/2006/relationships/hyperlink" Target="https://www.linkedin.com/posts/littleredzombies_alan-wake-ii-the-lake-house-fbc-hazmat-activity-7354043731521531905-WFHv?utm_source=combined_share_message&amp;utm_medium=member_desktop&amp;rcm=ACoAAGNYwmMBHH05CVFu0KpJR4gGCaJ72HAoAEU" TargetMode="External"/><Relationship Id="rId9" Type="http://schemas.openxmlformats.org/officeDocument/2006/relationships/hyperlink" Target="https://www.instagram.com/p/DNDotBzvyck/" TargetMode="External"/><Relationship Id="rId143" Type="http://schemas.openxmlformats.org/officeDocument/2006/relationships/hyperlink" Target="https://www.linkedin.com/posts/littleredzombies_split-fiction-story-characters-hair-activity-7356993617762111488-Wiz8?utm_source=combined_share_message&amp;utm_medium=member_desktop&amp;rcm=ACoAAGNYwmMBHH05CVFu0KpJR4gGCaJ72HAoAEU" TargetMode="External"/><Relationship Id="rId142" Type="http://schemas.openxmlformats.org/officeDocument/2006/relationships/hyperlink" Target="https://www.linkedin.com/posts/littleredzombies_split-fiction-story-characters-hair-activity-7356994100388093954-SsvH?utm_source=combined_share_message&amp;utm_medium=member_desktop&amp;rcm=ACoAAGNYwmMBHH05CVFu0KpJR4gGCaJ72HAoAEU" TargetMode="External"/><Relationship Id="rId263" Type="http://schemas.openxmlformats.org/officeDocument/2006/relationships/table" Target="../tables/table1.xml"/><Relationship Id="rId141" Type="http://schemas.openxmlformats.org/officeDocument/2006/relationships/hyperlink" Target="https://www.linkedin.com/posts/littleredzombies_split-fiction-fauna-activity-7359204048111067136-2zV9?utm_source=combined_share_message&amp;utm_medium=member_desktop&amp;rcm=ACoAAGNYwmMBHH05CVFu0KpJR4gGCaJ72HAoAEU" TargetMode="External"/><Relationship Id="rId140" Type="http://schemas.openxmlformats.org/officeDocument/2006/relationships/hyperlink" Target="https://www.linkedin.com/posts/littleredzombies_split-fiction-fauna-activity-7359204511673958400-k_Eb?utm_source=combined_share_message&amp;utm_medium=member_desktop&amp;rcm=ACoAAGNYwmMBHH05CVFu0KpJR4gGCaJ72HAoAEU" TargetMode="External"/><Relationship Id="rId261" Type="http://schemas.openxmlformats.org/officeDocument/2006/relationships/drawing" Target="../drawings/drawing1.xml"/><Relationship Id="rId5" Type="http://schemas.openxmlformats.org/officeDocument/2006/relationships/hyperlink" Target="https://www.instagram.com/p/DSsTgwHktZh/" TargetMode="External"/><Relationship Id="rId147" Type="http://schemas.openxmlformats.org/officeDocument/2006/relationships/hyperlink" Target="https://www.linkedin.com/posts/littleredzombies_alan-wake-ii-the-lake-house-dr-diana-activity-7354444215558311936-syWg?utm_source=combined_share_message&amp;utm_medium=member_desktop&amp;rcm=ACoAAGNYwmMBHH05CVFu0KpJR4gGCaJ72HAoAEU" TargetMode="External"/><Relationship Id="rId6" Type="http://schemas.openxmlformats.org/officeDocument/2006/relationships/hyperlink" Target="https://www.instagram.com/p/DWmBus7Et7y/" TargetMode="External"/><Relationship Id="rId146" Type="http://schemas.openxmlformats.org/officeDocument/2006/relationships/hyperlink" Target="https://www.linkedin.com/posts/littleredzombies_split-fiction-zoe-the-fairy-hair-activity-7356671351224496130-cRrm?utm_source=combined_share_message&amp;utm_medium=member_desktop&amp;rcm=ACoAAGNYwmMBHH05CVFu0KpJR4gGCaJ72HAoAEU" TargetMode="External"/><Relationship Id="rId7" Type="http://schemas.openxmlformats.org/officeDocument/2006/relationships/hyperlink" Target="https://www.instagram.com/p/DUlLKZVkmno/" TargetMode="External"/><Relationship Id="rId145" Type="http://schemas.openxmlformats.org/officeDocument/2006/relationships/hyperlink" Target="https://www.linkedin.com/posts/littleredzombies_split-fiction-mio-hair-activity-7356673400955703296-eIMk?utm_source=combined_share_message&amp;utm_medium=member_desktop&amp;rcm=ACoAAGNYwmMBHH05CVFu0KpJR4gGCaJ72HAoAEU" TargetMode="External"/><Relationship Id="rId8" Type="http://schemas.openxmlformats.org/officeDocument/2006/relationships/hyperlink" Target="https://www.instagram.com/p/DWmBTRAkoMZ/" TargetMode="External"/><Relationship Id="rId144" Type="http://schemas.openxmlformats.org/officeDocument/2006/relationships/hyperlink" Target="https://www.linkedin.com/posts/littleredzombies_split-fiction-rader-hair-activity-7356677461302005760-RwHQ?utm_source=combined_share_message&amp;utm_medium=member_desktop&amp;rcm=ACoAAGNYwmMBHH05CVFu0KpJR4gGCaJ72HAoAEU" TargetMode="External"/><Relationship Id="rId73" Type="http://schemas.openxmlformats.org/officeDocument/2006/relationships/hyperlink" Target="https://www.instagram.com/p/DG3Ck-dvVIv/" TargetMode="External"/><Relationship Id="rId72" Type="http://schemas.openxmlformats.org/officeDocument/2006/relationships/hyperlink" Target="https://www.instagram.com/p/DG3C1qtPD6z/" TargetMode="External"/><Relationship Id="rId75" Type="http://schemas.openxmlformats.org/officeDocument/2006/relationships/hyperlink" Target="https://www.instagram.com/p/DG3CGR8PI8N/" TargetMode="External"/><Relationship Id="rId74" Type="http://schemas.openxmlformats.org/officeDocument/2006/relationships/hyperlink" Target="https://www.instagram.com/p/DG3ET5eKtea/" TargetMode="External"/><Relationship Id="rId77" Type="http://schemas.openxmlformats.org/officeDocument/2006/relationships/hyperlink" Target="https://www.instagram.com/p/DHIWDWrvLmX/" TargetMode="External"/><Relationship Id="rId260" Type="http://schemas.openxmlformats.org/officeDocument/2006/relationships/hyperlink" Target="https://www.artstation.com/artwork/XJxKJ3" TargetMode="External"/><Relationship Id="rId76" Type="http://schemas.openxmlformats.org/officeDocument/2006/relationships/hyperlink" Target="https://www.instagram.com/p/DB80hwrvSgX/" TargetMode="External"/><Relationship Id="rId79" Type="http://schemas.openxmlformats.org/officeDocument/2006/relationships/hyperlink" Target="https://www.instagram.com/p/C8HtiDrvCMR/" TargetMode="External"/><Relationship Id="rId78" Type="http://schemas.openxmlformats.org/officeDocument/2006/relationships/hyperlink" Target="https://www.instagram.com/p/C3iLcxsvg16/" TargetMode="External"/><Relationship Id="rId71" Type="http://schemas.openxmlformats.org/officeDocument/2006/relationships/hyperlink" Target="https://www.instagram.com/p/DD97JDPPQ-k/" TargetMode="External"/><Relationship Id="rId70" Type="http://schemas.openxmlformats.org/officeDocument/2006/relationships/hyperlink" Target="https://www.instagram.com/p/DCi8Cn_Pi04/" TargetMode="External"/><Relationship Id="rId139" Type="http://schemas.openxmlformats.org/officeDocument/2006/relationships/hyperlink" Target="https://www.linkedin.com/posts/littleredzombies_split-fiction-playable-story-characters-activity-7359205919697637376-Q91u?utm_source=combined_share_message&amp;utm_medium=member_desktop&amp;rcm=ACoAAGNYwmMBHH05CVFu0KpJR4gGCaJ72HAoAEU" TargetMode="External"/><Relationship Id="rId138" Type="http://schemas.openxmlformats.org/officeDocument/2006/relationships/hyperlink" Target="https://www.linkedin.com/posts/littleredzombies_xds2025-xds-externaldevelopmentsummit-activity-7350848914595475456-tdWe?utm_source=combined_share_message&amp;utm_medium=member_desktop&amp;rcm=ACoAACeKeD0BuF80SqXQzZ7zQPkO3myaeSLGXW4" TargetMode="External"/><Relationship Id="rId259" Type="http://schemas.openxmlformats.org/officeDocument/2006/relationships/hyperlink" Target="https://www.artstation.com/artwork/3E8J9A" TargetMode="External"/><Relationship Id="rId137" Type="http://schemas.openxmlformats.org/officeDocument/2006/relationships/hyperlink" Target="https://www.linkedin.com/posts/littleredzombies_littleredzombies-ghosttownvr-fireproofstudios-activity-7351609223690059779-mawJ?utm_source=combined_share_message&amp;utm_medium=member_desktop&amp;rcm=ACoAACeKeD0BuF80SqXQzZ7zQPkO3myaeSLGXW4" TargetMode="External"/><Relationship Id="rId258" Type="http://schemas.openxmlformats.org/officeDocument/2006/relationships/hyperlink" Target="https://www.artstation.com/artwork/0lLJ54" TargetMode="External"/><Relationship Id="rId132" Type="http://schemas.openxmlformats.org/officeDocument/2006/relationships/hyperlink" Target="https://www.instagram.com/p/Cj--_cwPfsz/" TargetMode="External"/><Relationship Id="rId253" Type="http://schemas.openxmlformats.org/officeDocument/2006/relationships/hyperlink" Target="https://www.artstation.com/artwork/9mA5dy" TargetMode="External"/><Relationship Id="rId131" Type="http://schemas.openxmlformats.org/officeDocument/2006/relationships/hyperlink" Target="https://www.instagram.com/p/CTe_XYxpf_u/" TargetMode="External"/><Relationship Id="rId252" Type="http://schemas.openxmlformats.org/officeDocument/2006/relationships/hyperlink" Target="https://www.artstation.com/artwork/aY2VN2" TargetMode="External"/><Relationship Id="rId130" Type="http://schemas.openxmlformats.org/officeDocument/2006/relationships/hyperlink" Target="https://www.instagram.com/p/CT7Xfy2PgU-/" TargetMode="External"/><Relationship Id="rId251" Type="http://schemas.openxmlformats.org/officeDocument/2006/relationships/hyperlink" Target="https://www.artstation.com/artwork/Xnm1XL" TargetMode="External"/><Relationship Id="rId250" Type="http://schemas.openxmlformats.org/officeDocument/2006/relationships/hyperlink" Target="https://www.artstation.com/artwork/0lqlyw" TargetMode="External"/><Relationship Id="rId136" Type="http://schemas.openxmlformats.org/officeDocument/2006/relationships/hyperlink" Target="https://www.linkedin.com/posts/littleredzombies_alan-wake-ii-the-lake-house-fbc-scientist-activity-7354041867782533120-DnI5?utm_source=combined_share_message&amp;utm_medium=member_desktop&amp;rcm=ACoAACeKeD0BuF80SqXQzZ7zQPkO3myaeSLGXW4" TargetMode="External"/><Relationship Id="rId257" Type="http://schemas.openxmlformats.org/officeDocument/2006/relationships/hyperlink" Target="https://www.artstation.com/artwork/mAW4Z9" TargetMode="External"/><Relationship Id="rId135" Type="http://schemas.openxmlformats.org/officeDocument/2006/relationships/hyperlink" Target="https://www.instagram.com/p/CUPl5xxP5_6/" TargetMode="External"/><Relationship Id="rId256" Type="http://schemas.openxmlformats.org/officeDocument/2006/relationships/hyperlink" Target="https://www.artstation.com/artwork/DLO4WG" TargetMode="External"/><Relationship Id="rId134" Type="http://schemas.openxmlformats.org/officeDocument/2006/relationships/hyperlink" Target="https://www.instagram.com/p/CVvvSpRKMrY/" TargetMode="External"/><Relationship Id="rId255" Type="http://schemas.openxmlformats.org/officeDocument/2006/relationships/hyperlink" Target="https://www.artstation.com/artwork/qJb1PP" TargetMode="External"/><Relationship Id="rId133" Type="http://schemas.openxmlformats.org/officeDocument/2006/relationships/hyperlink" Target="https://www.instagram.com/p/Ca2Dj-7Pgxq/" TargetMode="External"/><Relationship Id="rId254" Type="http://schemas.openxmlformats.org/officeDocument/2006/relationships/hyperlink" Target="https://www.artstation.com/artwork/8wbkBm" TargetMode="External"/><Relationship Id="rId62" Type="http://schemas.openxmlformats.org/officeDocument/2006/relationships/hyperlink" Target="https://www.instagram.com/p/DHJBHG6qCHU/" TargetMode="External"/><Relationship Id="rId61" Type="http://schemas.openxmlformats.org/officeDocument/2006/relationships/hyperlink" Target="https://www.instagram.com/p/DHSpY7mvwVh/" TargetMode="External"/><Relationship Id="rId64" Type="http://schemas.openxmlformats.org/officeDocument/2006/relationships/hyperlink" Target="https://www.instagram.com/p/DG5i6LNPM0s/" TargetMode="External"/><Relationship Id="rId63" Type="http://schemas.openxmlformats.org/officeDocument/2006/relationships/hyperlink" Target="https://www.instagram.com/p/DHF_ixmPo0N/" TargetMode="External"/><Relationship Id="rId66" Type="http://schemas.openxmlformats.org/officeDocument/2006/relationships/hyperlink" Target="https://www.instagram.com/p/DHTTRJfvY_Q/" TargetMode="External"/><Relationship Id="rId172" Type="http://schemas.openxmlformats.org/officeDocument/2006/relationships/hyperlink" Target="https://www.linkedin.com/posts/littleredzombies_were-hiring-technical-animator-on-activity-7427366358344007680-lqWt?utm_source=combined_share_message&amp;utm_medium=member_desktop&amp;rcm=ACoAADzoKcQBgvVxEtgTp616StYABJvYyT5IbUY" TargetMode="External"/><Relationship Id="rId65" Type="http://schemas.openxmlformats.org/officeDocument/2006/relationships/hyperlink" Target="https://www.instagram.com/p/DHGPG71vCAy/" TargetMode="External"/><Relationship Id="rId171" Type="http://schemas.openxmlformats.org/officeDocument/2006/relationships/hyperlink" Target="https://www.linkedin.com/posts/littleredzombies_were-hiring-hr-associate-on-site-activity-7429167291441008640-xjx2?utm_source=combined_share_message&amp;utm_medium=member_desktop&amp;rcm=ACoAADzoKcQBgvVxEtgTp616StYABJvYyT5IbUY" TargetMode="External"/><Relationship Id="rId68" Type="http://schemas.openxmlformats.org/officeDocument/2006/relationships/hyperlink" Target="https://www.instagram.com/p/DG3DS0zPLbB/" TargetMode="External"/><Relationship Id="rId170" Type="http://schemas.openxmlformats.org/officeDocument/2006/relationships/hyperlink" Target="https://www.linkedin.com/posts/littleredzombies_were-excited-to-share-that-little-red-zombies-activity-7439180119367163904-PoOX?utm_source=combined_share_message&amp;utm_medium=member_desktop&amp;rcm=ACoAADzoKcQBgvVxEtgTp616StYABJvYyT5IbUY" TargetMode="External"/><Relationship Id="rId67" Type="http://schemas.openxmlformats.org/officeDocument/2006/relationships/hyperlink" Target="https://www.instagram.com/p/DHv5S_9PbEC/" TargetMode="External"/><Relationship Id="rId60" Type="http://schemas.openxmlformats.org/officeDocument/2006/relationships/hyperlink" Target="https://www.instagram.com/p/DHGdLIJK25r/" TargetMode="External"/><Relationship Id="rId165" Type="http://schemas.openxmlformats.org/officeDocument/2006/relationships/hyperlink" Target="https://www.linkedin.com/posts/littleredzombies_littleredzombies-lrz-halloween-activity-7390408528647184384-Ra7S?utm_source=combined_share_message&amp;utm_medium=member_desktop&amp;rcm=ACoAAFce_nsBbiRtt68DTPlmsCV_Z5I7to81vX8" TargetMode="External"/><Relationship Id="rId69" Type="http://schemas.openxmlformats.org/officeDocument/2006/relationships/hyperlink" Target="https://www.instagram.com/p/DFuuI2TvUOa/" TargetMode="External"/><Relationship Id="rId164" Type="http://schemas.openxmlformats.org/officeDocument/2006/relationships/hyperlink" Target="https://www.linkedin.com/posts/littleredzombies_migs-migs25-migs2025-activity-7391423416345493504-8MFQ?utm_source=combined_share_message&amp;utm_medium=member_desktop&amp;rcm=ACoAAFce_nsBbiRtt68DTPlmsCV_Z5I7to81vX8" TargetMode="External"/><Relationship Id="rId163" Type="http://schemas.openxmlformats.org/officeDocument/2006/relationships/hyperlink" Target="https://www.linkedin.com/posts/littleredzombies_the-outer-worlds-2-has-landed-discover-activity-7391757190388314112-wprO?utm_source=combined_share_message&amp;utm_medium=member_desktop&amp;rcm=ACoAAFce_nsBbiRtt68DTPlmsCV_Z5I7to81vX8" TargetMode="External"/><Relationship Id="rId162" Type="http://schemas.openxmlformats.org/officeDocument/2006/relationships/hyperlink" Target="https://www.linkedin.com/posts/littleredzombies_callofduty-callofdutyblackops-callofdutyblackops7-activity-7396191181174444032-0KLd?utm_source=combined_share_message&amp;utm_medium=member_desktop&amp;rcm=ACoAAFce_nsBbiRtt68DTPlmsCV_Z5I7to81vX8" TargetMode="External"/><Relationship Id="rId169" Type="http://schemas.openxmlformats.org/officeDocument/2006/relationships/hyperlink" Target="https://www.linkedin.com/posts/littleredzombies_hiring-facilitymanagement-operations-activity-7439648897771229187-1ekl?utm_source=combined_share_message&amp;utm_medium=member_desktop&amp;rcm=ACoAADzoKcQBgvVxEtgTp616StYABJvYyT5IbUY" TargetMode="External"/><Relationship Id="rId168" Type="http://schemas.openxmlformats.org/officeDocument/2006/relationships/hyperlink" Target="https://www.linkedin.com/posts/littleredzombies_tgs-tgs2025-tokyogameshow-activity-7377333403899088897-2Amy?utm_source=combined_share_message&amp;utm_medium=member_desktop&amp;rcm=ACoAAFce_nsBbiRtt68DTPlmsCV_Z5I7to81vX8" TargetMode="External"/><Relationship Id="rId167" Type="http://schemas.openxmlformats.org/officeDocument/2006/relationships/hyperlink" Target="https://www.linkedin.com/posts/littleredzombies_were-proud-to-spotlight-little-red-zombies-activity-7384829687950135296-8kL_?utm_source=combined_share_message&amp;utm_medium=member_desktop&amp;rcm=ACoAAFce_nsBbiRtt68DTPlmsCV_Z5I7to81vX8" TargetMode="External"/><Relationship Id="rId166" Type="http://schemas.openxmlformats.org/officeDocument/2006/relationships/hyperlink" Target="https://www.linkedin.com/posts/littleredzombies_from-all-of-us-at-little-red-zombies-wishing-activity-7384957275121307648-FlXE?utm_source=combined_share_message&amp;utm_medium=member_desktop&amp;rcm=ACoAAFce_nsBbiRtt68DTPlmsCV_Z5I7to81vX8" TargetMode="External"/><Relationship Id="rId51" Type="http://schemas.openxmlformats.org/officeDocument/2006/relationships/hyperlink" Target="https://www.instagram.com/p/DHxroBHPFtE/" TargetMode="External"/><Relationship Id="rId50" Type="http://schemas.openxmlformats.org/officeDocument/2006/relationships/hyperlink" Target="https://www.instagram.com/p/DHVqJHUPTOW/" TargetMode="External"/><Relationship Id="rId53" Type="http://schemas.openxmlformats.org/officeDocument/2006/relationships/hyperlink" Target="https://www.instagram.com/p/DHa_xXKPual/" TargetMode="External"/><Relationship Id="rId52" Type="http://schemas.openxmlformats.org/officeDocument/2006/relationships/hyperlink" Target="https://www.instagram.com/p/DHV6SjcvwhO/" TargetMode="External"/><Relationship Id="rId55" Type="http://schemas.openxmlformats.org/officeDocument/2006/relationships/hyperlink" Target="https://www.instagram.com/p/DH_ACVNvouK/" TargetMode="External"/><Relationship Id="rId161" Type="http://schemas.openxmlformats.org/officeDocument/2006/relationships/hyperlink" Target="https://www.linkedin.com/posts/littleredzombies_call-of-duty-black-ops-7-has-landed-discover-activity-7397143995300143104-NnA8?utm_source=combined_share_message&amp;utm_medium=member_desktop&amp;rcm=ACoAAFce_nsBbiRtt68DTPlmsCV_Z5I7to81vX8" TargetMode="External"/><Relationship Id="rId54" Type="http://schemas.openxmlformats.org/officeDocument/2006/relationships/hyperlink" Target="https://www.instagram.com/p/DHVRLcOv8_G/" TargetMode="External"/><Relationship Id="rId160" Type="http://schemas.openxmlformats.org/officeDocument/2006/relationships/hyperlink" Target="https://www.linkedin.com/posts/littleredzombies_migs2025-migs-gameart-activity-7399773441941409792-ul1g?utm_source=combined_share_message&amp;utm_medium=member_desktop&amp;rcm=ACoAAFce_nsBbiRtt68DTPlmsCV_Z5I7to81vX8" TargetMode="External"/><Relationship Id="rId57" Type="http://schemas.openxmlformats.org/officeDocument/2006/relationships/hyperlink" Target="https://www.instagram.com/p/DHxYzjTP31g/" TargetMode="External"/><Relationship Id="rId56" Type="http://schemas.openxmlformats.org/officeDocument/2006/relationships/hyperlink" Target="https://www.instagram.com/p/DHbHlkfv3hf/" TargetMode="External"/><Relationship Id="rId159" Type="http://schemas.openxmlformats.org/officeDocument/2006/relationships/hyperlink" Target="https://www.linkedin.com/posts/littleredzombies_gamedev-analytics-hiring-activity-7403807110196621312-jqKx?utm_source=combined_share_message&amp;utm_medium=member_desktop&amp;rcm=ACoAAFce_nsBbiRtt68DTPlmsCV_Z5I7to81vX8" TargetMode="External"/><Relationship Id="rId59" Type="http://schemas.openxmlformats.org/officeDocument/2006/relationships/hyperlink" Target="https://www.instagram.com/p/DHDrnpQvtAl/" TargetMode="External"/><Relationship Id="rId154" Type="http://schemas.openxmlformats.org/officeDocument/2006/relationships/hyperlink" Target="https://www.linkedin.com/posts/littleredzombies_xds-xds2025-externaldevelopmentsummit-activity-7366003457884868609-ZncY?utm_source=combined_share_message&amp;utm_medium=member_desktop&amp;rcm=ACoAAFce_nsBbiRtt68DTPlmsCV_Z5I7to81vX8" TargetMode="External"/><Relationship Id="rId58" Type="http://schemas.openxmlformats.org/officeDocument/2006/relationships/hyperlink" Target="https://www.instagram.com/p/DHDsUdbvsWm/" TargetMode="External"/><Relationship Id="rId153" Type="http://schemas.openxmlformats.org/officeDocument/2006/relationships/hyperlink" Target="https://www.linkedin.com/posts/littleredzombies_were-hiring-project-managers-little-activity-7367794031113793536-4C3-?utm_source=combined_share_message&amp;utm_medium=member_desktop&amp;rcm=ACoAAFce_nsBbiRtt68DTPlmsCV_Z5I7to81vX8" TargetMode="External"/><Relationship Id="rId152" Type="http://schemas.openxmlformats.org/officeDocument/2006/relationships/hyperlink" Target="https://www.linkedin.com/posts/littleredzombies_xds-xds2025-gamedev-activity-7370806403491536896-6QdO?utm_source=combined_share_message&amp;utm_medium=member_desktop&amp;rcm=ACoAAFce_nsBbiRtt68DTPlmsCV_Z5I7to81vX8" TargetMode="External"/><Relationship Id="rId151" Type="http://schemas.openxmlformats.org/officeDocument/2006/relationships/hyperlink" Target="https://www.linkedin.com/posts/littleredzombies_gameart-3dart-characterart-activity-7371177157705916416-I8A8?utm_source=combined_share_message&amp;utm_medium=member_desktop&amp;rcm=ACoAAFce_nsBbiRtt68DTPlmsCV_Z5I7to81vX8" TargetMode="External"/><Relationship Id="rId158" Type="http://schemas.openxmlformats.org/officeDocument/2006/relationships/hyperlink" Target="https://www.linkedin.com/posts/littleredzombies_split-fiction-ice-king-fur-activity-7359206563145764864-eG6U?utm_source=combined_share_message&amp;utm_medium=member_desktop&amp;rcm=ACoAAFce_nsBbiRtt68DTPlmsCV_Z5I7to81vX8" TargetMode="External"/><Relationship Id="rId157" Type="http://schemas.openxmlformats.org/officeDocument/2006/relationships/hyperlink" Target="https://www.linkedin.com/posts/littleredzombies_pax-dei-medieval-armor-tabard-activity-7364272247403917313-is6O?utm_source=combined_share_message&amp;utm_medium=member_desktop&amp;rcm=ACoAAFce_nsBbiRtt68DTPlmsCV_Z5I7to81vX8" TargetMode="External"/><Relationship Id="rId156" Type="http://schemas.openxmlformats.org/officeDocument/2006/relationships/hyperlink" Target="https://www.linkedin.com/posts/littleredzombies_pax-dei-doublet-leather-armor-activity-7364273896230957056-LtJC?utm_source=combined_share_message&amp;utm_medium=member_desktop&amp;rcm=ACoAAFce_nsBbiRtt68DTPlmsCV_Z5I7to81vX8" TargetMode="External"/><Relationship Id="rId155" Type="http://schemas.openxmlformats.org/officeDocument/2006/relationships/hyperlink" Target="https://www.linkedin.com/posts/littleredzombies_pax-dei-blacksmith-activity-7364274316663795712-4NQr?utm_source=combined_share_message&amp;utm_medium=member_desktop&amp;rcm=ACoAAFce_nsBbiRtt68DTPlmsCV_Z5I7to81vX8" TargetMode="External"/><Relationship Id="rId107" Type="http://schemas.openxmlformats.org/officeDocument/2006/relationships/hyperlink" Target="https://www.instagram.com/p/C1L_atByi9W/" TargetMode="External"/><Relationship Id="rId228" Type="http://schemas.openxmlformats.org/officeDocument/2006/relationships/hyperlink" Target="https://www.artstation.com/artwork/eRxvdX" TargetMode="External"/><Relationship Id="rId106" Type="http://schemas.openxmlformats.org/officeDocument/2006/relationships/hyperlink" Target="https://www.instagram.com/p/Czd5CEWPxYu/" TargetMode="External"/><Relationship Id="rId227" Type="http://schemas.openxmlformats.org/officeDocument/2006/relationships/hyperlink" Target="https://www.artstation.com/artwork/XJxKgn" TargetMode="External"/><Relationship Id="rId105" Type="http://schemas.openxmlformats.org/officeDocument/2006/relationships/hyperlink" Target="https://www.instagram.com/p/C0MVK83PJ9Q/" TargetMode="External"/><Relationship Id="rId226" Type="http://schemas.openxmlformats.org/officeDocument/2006/relationships/hyperlink" Target="https://www.artstation.com/artwork/98OJ6o" TargetMode="External"/><Relationship Id="rId104" Type="http://schemas.openxmlformats.org/officeDocument/2006/relationships/hyperlink" Target="https://www.instagram.com/p/C00ixZSvIFw/" TargetMode="External"/><Relationship Id="rId225" Type="http://schemas.openxmlformats.org/officeDocument/2006/relationships/hyperlink" Target="https://www.artstation.com/artwork/98OJ6o" TargetMode="External"/><Relationship Id="rId109" Type="http://schemas.openxmlformats.org/officeDocument/2006/relationships/hyperlink" Target="https://www.instagram.com/p/CzL8HUcPygA/" TargetMode="External"/><Relationship Id="rId108" Type="http://schemas.openxmlformats.org/officeDocument/2006/relationships/hyperlink" Target="https://www.instagram.com/p/DFusWPIPGOy/" TargetMode="External"/><Relationship Id="rId229" Type="http://schemas.openxmlformats.org/officeDocument/2006/relationships/hyperlink" Target="https://www.artstation.com/artwork/nJWxQX" TargetMode="External"/><Relationship Id="rId220" Type="http://schemas.openxmlformats.org/officeDocument/2006/relationships/hyperlink" Target="https://www.artstation.com/artwork/gREQl8" TargetMode="External"/><Relationship Id="rId103" Type="http://schemas.openxmlformats.org/officeDocument/2006/relationships/hyperlink" Target="https://www.instagram.com/p/C1KIw3MPhzs/" TargetMode="External"/><Relationship Id="rId224" Type="http://schemas.openxmlformats.org/officeDocument/2006/relationships/hyperlink" Target="https://www.artstation.com/artwork/oJNekO" TargetMode="External"/><Relationship Id="rId102" Type="http://schemas.openxmlformats.org/officeDocument/2006/relationships/hyperlink" Target="https://www.instagram.com/p/C8HsE94vMgn/" TargetMode="External"/><Relationship Id="rId223" Type="http://schemas.openxmlformats.org/officeDocument/2006/relationships/hyperlink" Target="https://www.artstation.com/artwork/OvL4ee" TargetMode="External"/><Relationship Id="rId101" Type="http://schemas.openxmlformats.org/officeDocument/2006/relationships/hyperlink" Target="https://www.instagram.com/p/C8HsVYwP1cJ/" TargetMode="External"/><Relationship Id="rId222" Type="http://schemas.openxmlformats.org/officeDocument/2006/relationships/hyperlink" Target="https://www.artstation.com/artwork/bg9Nor" TargetMode="External"/><Relationship Id="rId100" Type="http://schemas.openxmlformats.org/officeDocument/2006/relationships/hyperlink" Target="https://www.instagram.com/p/DB3hmsnvaFo/" TargetMode="External"/><Relationship Id="rId221" Type="http://schemas.openxmlformats.org/officeDocument/2006/relationships/hyperlink" Target="https://www.artstation.com/artwork/WXR1WE" TargetMode="External"/><Relationship Id="rId217" Type="http://schemas.openxmlformats.org/officeDocument/2006/relationships/hyperlink" Target="https://www.artstation.com/artwork/WBAQ8y" TargetMode="External"/><Relationship Id="rId216" Type="http://schemas.openxmlformats.org/officeDocument/2006/relationships/hyperlink" Target="https://www.artstation.com/artwork/3Egow2" TargetMode="External"/><Relationship Id="rId215" Type="http://schemas.openxmlformats.org/officeDocument/2006/relationships/hyperlink" Target="https://www.artstation.com/artwork/rlWnde" TargetMode="External"/><Relationship Id="rId214" Type="http://schemas.openxmlformats.org/officeDocument/2006/relationships/hyperlink" Target="https://www.artstation.com/artwork/K3EwJx" TargetMode="External"/><Relationship Id="rId219" Type="http://schemas.openxmlformats.org/officeDocument/2006/relationships/hyperlink" Target="https://www.artstation.com/artwork/WBAQk2" TargetMode="External"/><Relationship Id="rId218" Type="http://schemas.openxmlformats.org/officeDocument/2006/relationships/hyperlink" Target="https://www.artstation.com/artwork/YBAQ6P" TargetMode="External"/><Relationship Id="rId213" Type="http://schemas.openxmlformats.org/officeDocument/2006/relationships/hyperlink" Target="https://www.artstation.com/artwork/RKJ1YA" TargetMode="External"/><Relationship Id="rId212" Type="http://schemas.openxmlformats.org/officeDocument/2006/relationships/hyperlink" Target="https://www.artstation.com/artwork/8BzKWn" TargetMode="External"/><Relationship Id="rId211" Type="http://schemas.openxmlformats.org/officeDocument/2006/relationships/hyperlink" Target="https://www.artstation.com/artwork/OvJnyg" TargetMode="External"/><Relationship Id="rId210" Type="http://schemas.openxmlformats.org/officeDocument/2006/relationships/hyperlink" Target="https://www.artstation.com/artwork/mAgBzE" TargetMode="External"/><Relationship Id="rId129" Type="http://schemas.openxmlformats.org/officeDocument/2006/relationships/hyperlink" Target="https://www.instagram.com/p/B9-6gl9DtwF/" TargetMode="External"/><Relationship Id="rId128" Type="http://schemas.openxmlformats.org/officeDocument/2006/relationships/hyperlink" Target="https://www.instagram.com/p/Ci-aTpCPtkl/" TargetMode="External"/><Relationship Id="rId249" Type="http://schemas.openxmlformats.org/officeDocument/2006/relationships/hyperlink" Target="https://www.artstation.com/artwork/bg4gGr" TargetMode="External"/><Relationship Id="rId127" Type="http://schemas.openxmlformats.org/officeDocument/2006/relationships/hyperlink" Target="https://www.instagram.com/p/CXrOUwmPPru/" TargetMode="External"/><Relationship Id="rId248" Type="http://schemas.openxmlformats.org/officeDocument/2006/relationships/hyperlink" Target="https://www.artstation.com/artwork/4NLNmW" TargetMode="External"/><Relationship Id="rId126" Type="http://schemas.openxmlformats.org/officeDocument/2006/relationships/hyperlink" Target="https://www.instagram.com/p/CUXUdPyvrK7/" TargetMode="External"/><Relationship Id="rId247" Type="http://schemas.openxmlformats.org/officeDocument/2006/relationships/hyperlink" Target="https://www.artstation.com/artwork/5W19zE" TargetMode="External"/><Relationship Id="rId121" Type="http://schemas.openxmlformats.org/officeDocument/2006/relationships/hyperlink" Target="https://www.instagram.com/p/CX6mZOKKpnG/" TargetMode="External"/><Relationship Id="rId242" Type="http://schemas.openxmlformats.org/officeDocument/2006/relationships/hyperlink" Target="https://www.artstation.com/artwork/4NyQWl" TargetMode="External"/><Relationship Id="rId120" Type="http://schemas.openxmlformats.org/officeDocument/2006/relationships/hyperlink" Target="https://www.instagram.com/p/CxzJ11TPqdn/" TargetMode="External"/><Relationship Id="rId241" Type="http://schemas.openxmlformats.org/officeDocument/2006/relationships/hyperlink" Target="https://www.artstation.com/artwork/AZvLoV" TargetMode="External"/><Relationship Id="rId240" Type="http://schemas.openxmlformats.org/officeDocument/2006/relationships/hyperlink" Target="https://www.artstation.com/artwork/bgrvBm" TargetMode="External"/><Relationship Id="rId125" Type="http://schemas.openxmlformats.org/officeDocument/2006/relationships/hyperlink" Target="https://www.instagram.com/p/CaHqQxHPt40/" TargetMode="External"/><Relationship Id="rId246" Type="http://schemas.openxmlformats.org/officeDocument/2006/relationships/hyperlink" Target="https://www.artstation.com/artwork/WXGoED" TargetMode="External"/><Relationship Id="rId124" Type="http://schemas.openxmlformats.org/officeDocument/2006/relationships/hyperlink" Target="https://www.instagram.com/p/CUc5PxOpSMK/" TargetMode="External"/><Relationship Id="rId245" Type="http://schemas.openxmlformats.org/officeDocument/2006/relationships/hyperlink" Target="https://www.artstation.com/artwork/rl08wO" TargetMode="External"/><Relationship Id="rId123" Type="http://schemas.openxmlformats.org/officeDocument/2006/relationships/hyperlink" Target="https://www.instagram.com/p/Cd8gVHdpug-/" TargetMode="External"/><Relationship Id="rId244" Type="http://schemas.openxmlformats.org/officeDocument/2006/relationships/hyperlink" Target="https://www.artstation.com/artwork/4NyQG1" TargetMode="External"/><Relationship Id="rId122" Type="http://schemas.openxmlformats.org/officeDocument/2006/relationships/hyperlink" Target="https://www.instagram.com/p/CUK42GqAnDU/" TargetMode="External"/><Relationship Id="rId243" Type="http://schemas.openxmlformats.org/officeDocument/2006/relationships/hyperlink" Target="https://www.artstation.com/artwork/dy4wk3" TargetMode="External"/><Relationship Id="rId95" Type="http://schemas.openxmlformats.org/officeDocument/2006/relationships/hyperlink" Target="https://www.instagram.com/p/C0T-EX4vrg1/" TargetMode="External"/><Relationship Id="rId94" Type="http://schemas.openxmlformats.org/officeDocument/2006/relationships/hyperlink" Target="https://www.instagram.com/p/C0T9we0vKxp/" TargetMode="External"/><Relationship Id="rId97" Type="http://schemas.openxmlformats.org/officeDocument/2006/relationships/hyperlink" Target="https://www.instagram.com/p/C1NaStvSbXq/" TargetMode="External"/><Relationship Id="rId96" Type="http://schemas.openxmlformats.org/officeDocument/2006/relationships/hyperlink" Target="https://www.instagram.com/p/C2ALFIpvKUe/" TargetMode="External"/><Relationship Id="rId99" Type="http://schemas.openxmlformats.org/officeDocument/2006/relationships/hyperlink" Target="https://www.instagram.com/p/DHJLx_GvFal/" TargetMode="External"/><Relationship Id="rId98" Type="http://schemas.openxmlformats.org/officeDocument/2006/relationships/hyperlink" Target="https://www.instagram.com/p/C7O_Jo4PcIW/" TargetMode="External"/><Relationship Id="rId91" Type="http://schemas.openxmlformats.org/officeDocument/2006/relationships/hyperlink" Target="https://www.instagram.com/p/DCHM1CLv2Kr/" TargetMode="External"/><Relationship Id="rId90" Type="http://schemas.openxmlformats.org/officeDocument/2006/relationships/hyperlink" Target="https://www.instagram.com/p/CzoFYiuP2Sa/" TargetMode="External"/><Relationship Id="rId93" Type="http://schemas.openxmlformats.org/officeDocument/2006/relationships/hyperlink" Target="https://www.instagram.com/p/C1RNsV2SGWt/" TargetMode="External"/><Relationship Id="rId92" Type="http://schemas.openxmlformats.org/officeDocument/2006/relationships/hyperlink" Target="https://www.instagram.com/p/C2xFZnwPNb3/" TargetMode="External"/><Relationship Id="rId118" Type="http://schemas.openxmlformats.org/officeDocument/2006/relationships/hyperlink" Target="https://www.instagram.com/p/CzWegoHv2J1/" TargetMode="External"/><Relationship Id="rId239" Type="http://schemas.openxmlformats.org/officeDocument/2006/relationships/hyperlink" Target="https://www.artstation.com/artwork/YGrvvP" TargetMode="External"/><Relationship Id="rId117" Type="http://schemas.openxmlformats.org/officeDocument/2006/relationships/hyperlink" Target="https://www.instagram.com/p/Cy50ADsvbJp/" TargetMode="External"/><Relationship Id="rId238" Type="http://schemas.openxmlformats.org/officeDocument/2006/relationships/hyperlink" Target="https://www.artstation.com/artwork/V2Gvyb" TargetMode="External"/><Relationship Id="rId116" Type="http://schemas.openxmlformats.org/officeDocument/2006/relationships/hyperlink" Target="https://www.instagram.com/p/CstZx5yy1NU/" TargetMode="External"/><Relationship Id="rId237" Type="http://schemas.openxmlformats.org/officeDocument/2006/relationships/hyperlink" Target="https://www.artstation.com/artwork/zxXeDQ" TargetMode="External"/><Relationship Id="rId115" Type="http://schemas.openxmlformats.org/officeDocument/2006/relationships/hyperlink" Target="https://www.instagram.com/p/CxYPjptvAKo/" TargetMode="External"/><Relationship Id="rId236" Type="http://schemas.openxmlformats.org/officeDocument/2006/relationships/hyperlink" Target="https://www.artstation.com/artwork/XJGv1w" TargetMode="External"/><Relationship Id="rId119" Type="http://schemas.openxmlformats.org/officeDocument/2006/relationships/hyperlink" Target="https://www.instagram.com/p/CzGpRWiP4nv/" TargetMode="External"/><Relationship Id="rId110" Type="http://schemas.openxmlformats.org/officeDocument/2006/relationships/hyperlink" Target="https://www.instagram.com/p/CxPP8JfyB35/" TargetMode="External"/><Relationship Id="rId231" Type="http://schemas.openxmlformats.org/officeDocument/2006/relationships/hyperlink" Target="https://www.artstation.com/artwork/lGLoGG" TargetMode="External"/><Relationship Id="rId230" Type="http://schemas.openxmlformats.org/officeDocument/2006/relationships/hyperlink" Target="https://www.artstation.com/artwork/nJ1nl6" TargetMode="External"/><Relationship Id="rId114" Type="http://schemas.openxmlformats.org/officeDocument/2006/relationships/hyperlink" Target="https://www.instagram.com/p/CrlXVzKpVpX/" TargetMode="External"/><Relationship Id="rId235" Type="http://schemas.openxmlformats.org/officeDocument/2006/relationships/hyperlink" Target="https://www.artstation.com/artwork/K3EwR9" TargetMode="External"/><Relationship Id="rId113" Type="http://schemas.openxmlformats.org/officeDocument/2006/relationships/hyperlink" Target="https://www.instagram.com/p/Cmg7y5NhhaO/" TargetMode="External"/><Relationship Id="rId234" Type="http://schemas.openxmlformats.org/officeDocument/2006/relationships/hyperlink" Target="https://www.artstation.com/artwork/x325LO" TargetMode="External"/><Relationship Id="rId112" Type="http://schemas.openxmlformats.org/officeDocument/2006/relationships/hyperlink" Target="https://www.instagram.com/p/CzT9IACvpWg/" TargetMode="External"/><Relationship Id="rId233" Type="http://schemas.openxmlformats.org/officeDocument/2006/relationships/hyperlink" Target="https://www.artstation.com/artwork/P6NPYB" TargetMode="External"/><Relationship Id="rId111" Type="http://schemas.openxmlformats.org/officeDocument/2006/relationships/hyperlink" Target="https://www.instagram.com/p/Cqutga1pHyr/" TargetMode="External"/><Relationship Id="rId232" Type="http://schemas.openxmlformats.org/officeDocument/2006/relationships/hyperlink" Target="https://www.artstation.com/artwork/EzOxQe" TargetMode="External"/><Relationship Id="rId206" Type="http://schemas.openxmlformats.org/officeDocument/2006/relationships/hyperlink" Target="https://www.artstation.com/artwork/OvKAWe" TargetMode="External"/><Relationship Id="rId205" Type="http://schemas.openxmlformats.org/officeDocument/2006/relationships/hyperlink" Target="https://www.artstation.com/artwork/y4PenK" TargetMode="External"/><Relationship Id="rId204" Type="http://schemas.openxmlformats.org/officeDocument/2006/relationships/hyperlink" Target="https://www.artstation.com/artwork/GvPYyW" TargetMode="External"/><Relationship Id="rId203" Type="http://schemas.openxmlformats.org/officeDocument/2006/relationships/hyperlink" Target="https://www.artstation.com/artwork/3Egkmo" TargetMode="External"/><Relationship Id="rId209" Type="http://schemas.openxmlformats.org/officeDocument/2006/relationships/hyperlink" Target="https://www.artstation.com/artwork/Jr5Amm" TargetMode="External"/><Relationship Id="rId208" Type="http://schemas.openxmlformats.org/officeDocument/2006/relationships/hyperlink" Target="https://www.artstation.com/artwork/8Bg94m" TargetMode="External"/><Relationship Id="rId207" Type="http://schemas.openxmlformats.org/officeDocument/2006/relationships/hyperlink" Target="https://www.artstation.com/artwork/qJXaDL" TargetMode="External"/><Relationship Id="rId202" Type="http://schemas.openxmlformats.org/officeDocument/2006/relationships/hyperlink" Target="https://www.artstation.com/artwork/EzdQ2n" TargetMode="External"/><Relationship Id="rId201" Type="http://schemas.openxmlformats.org/officeDocument/2006/relationships/hyperlink" Target="https://www.artstation.com/artwork/lGYKya" TargetMode="External"/><Relationship Id="rId200" Type="http://schemas.openxmlformats.org/officeDocument/2006/relationships/hyperlink" Target="https://www.artstation.com/artwork/gJrOy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23.0"/>
    <col customWidth="1" min="8" max="8" width="14.75"/>
    <col customWidth="1" min="9" max="9" width="16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 t="s">
        <v>11</v>
      </c>
      <c r="C2" s="5">
        <f t="shared" ref="C2:C189" si="1">DATEVALUE(LEFT(B2,10))</f>
        <v>46001</v>
      </c>
      <c r="D2" s="6" t="str">
        <f t="shared" ref="D2:D261" si="2">TEXT(C2,"YYYY-MM")</f>
        <v>2025-12</v>
      </c>
      <c r="E2" s="7">
        <f t="shared" ref="E2:E136" si="3">ROUND(F2/0.04, 0)</f>
        <v>2200</v>
      </c>
      <c r="F2" s="8">
        <v>88.0</v>
      </c>
      <c r="G2" s="9">
        <v>1.0</v>
      </c>
      <c r="H2" s="7"/>
      <c r="I2" s="10">
        <f t="shared" ref="I2:I261" si="4">ROUND((F2+G2+H2)/E2*100, 2)</f>
        <v>4.05</v>
      </c>
      <c r="J2" s="11" t="s">
        <v>12</v>
      </c>
    </row>
    <row r="3">
      <c r="A3" s="12" t="s">
        <v>10</v>
      </c>
      <c r="B3" s="4" t="s">
        <v>13</v>
      </c>
      <c r="C3" s="4">
        <f t="shared" si="1"/>
        <v>46111</v>
      </c>
      <c r="D3" s="6" t="str">
        <f t="shared" si="2"/>
        <v>2026-03</v>
      </c>
      <c r="E3" s="7">
        <f t="shared" si="3"/>
        <v>3150</v>
      </c>
      <c r="F3" s="8">
        <v>126.0</v>
      </c>
      <c r="G3" s="13">
        <v>0.0</v>
      </c>
      <c r="H3" s="7"/>
      <c r="I3" s="7">
        <f t="shared" si="4"/>
        <v>4</v>
      </c>
      <c r="J3" s="11" t="s">
        <v>14</v>
      </c>
    </row>
    <row r="4">
      <c r="A4" s="12" t="s">
        <v>10</v>
      </c>
      <c r="B4" s="4" t="s">
        <v>15</v>
      </c>
      <c r="C4" s="4">
        <f t="shared" si="1"/>
        <v>45978</v>
      </c>
      <c r="D4" s="6" t="str">
        <f t="shared" si="2"/>
        <v>2025-11</v>
      </c>
      <c r="E4" s="7">
        <f t="shared" si="3"/>
        <v>2925</v>
      </c>
      <c r="F4" s="8">
        <v>117.0</v>
      </c>
      <c r="G4" s="13">
        <v>0.0</v>
      </c>
      <c r="H4" s="7"/>
      <c r="I4" s="7">
        <f t="shared" si="4"/>
        <v>4</v>
      </c>
      <c r="J4" s="11" t="s">
        <v>16</v>
      </c>
    </row>
    <row r="5">
      <c r="A5" s="12" t="s">
        <v>10</v>
      </c>
      <c r="B5" s="4" t="s">
        <v>17</v>
      </c>
      <c r="C5" s="4">
        <f t="shared" si="1"/>
        <v>46111</v>
      </c>
      <c r="D5" s="6" t="str">
        <f t="shared" si="2"/>
        <v>2026-03</v>
      </c>
      <c r="E5" s="7">
        <f t="shared" si="3"/>
        <v>2450</v>
      </c>
      <c r="F5" s="8">
        <v>98.0</v>
      </c>
      <c r="G5" s="13">
        <v>0.0</v>
      </c>
      <c r="H5" s="7"/>
      <c r="I5" s="7">
        <f t="shared" si="4"/>
        <v>4</v>
      </c>
      <c r="J5" s="11" t="s">
        <v>18</v>
      </c>
    </row>
    <row r="6">
      <c r="A6" s="12" t="s">
        <v>10</v>
      </c>
      <c r="B6" s="4" t="s">
        <v>19</v>
      </c>
      <c r="C6" s="4">
        <f t="shared" si="1"/>
        <v>46016</v>
      </c>
      <c r="D6" s="6" t="str">
        <f t="shared" si="2"/>
        <v>2025-12</v>
      </c>
      <c r="E6" s="7">
        <f t="shared" si="3"/>
        <v>3850</v>
      </c>
      <c r="F6" s="8">
        <v>154.0</v>
      </c>
      <c r="G6" s="13">
        <v>0.0</v>
      </c>
      <c r="H6" s="7"/>
      <c r="I6" s="7">
        <f t="shared" si="4"/>
        <v>4</v>
      </c>
      <c r="J6" s="11" t="s">
        <v>20</v>
      </c>
    </row>
    <row r="7">
      <c r="A7" s="12" t="s">
        <v>10</v>
      </c>
      <c r="B7" s="4" t="s">
        <v>21</v>
      </c>
      <c r="C7" s="4">
        <f t="shared" si="1"/>
        <v>46113</v>
      </c>
      <c r="D7" s="6" t="str">
        <f t="shared" si="2"/>
        <v>2026-04</v>
      </c>
      <c r="E7" s="7">
        <f t="shared" si="3"/>
        <v>4475</v>
      </c>
      <c r="F7" s="8">
        <v>179.0</v>
      </c>
      <c r="G7" s="13">
        <v>3.0</v>
      </c>
      <c r="H7" s="7"/>
      <c r="I7" s="7">
        <f t="shared" si="4"/>
        <v>4.07</v>
      </c>
      <c r="J7" s="11" t="s">
        <v>22</v>
      </c>
    </row>
    <row r="8">
      <c r="A8" s="12" t="s">
        <v>10</v>
      </c>
      <c r="B8" s="4" t="s">
        <v>23</v>
      </c>
      <c r="C8" s="4">
        <f t="shared" si="1"/>
        <v>46063</v>
      </c>
      <c r="D8" s="6" t="str">
        <f t="shared" si="2"/>
        <v>2026-02</v>
      </c>
      <c r="E8" s="7">
        <f t="shared" si="3"/>
        <v>2825</v>
      </c>
      <c r="F8" s="8">
        <v>113.0</v>
      </c>
      <c r="G8" s="13">
        <v>1.0</v>
      </c>
      <c r="H8" s="7"/>
      <c r="I8" s="7">
        <f t="shared" si="4"/>
        <v>4.04</v>
      </c>
      <c r="J8" s="11" t="s">
        <v>24</v>
      </c>
    </row>
    <row r="9">
      <c r="A9" s="12" t="s">
        <v>10</v>
      </c>
      <c r="B9" s="4" t="s">
        <v>25</v>
      </c>
      <c r="C9" s="4">
        <f t="shared" si="1"/>
        <v>46113</v>
      </c>
      <c r="D9" s="6" t="str">
        <f t="shared" si="2"/>
        <v>2026-04</v>
      </c>
      <c r="E9" s="7">
        <f t="shared" si="3"/>
        <v>6225</v>
      </c>
      <c r="F9" s="8">
        <v>249.0</v>
      </c>
      <c r="G9" s="13">
        <v>2.0</v>
      </c>
      <c r="H9" s="7"/>
      <c r="I9" s="7">
        <f t="shared" si="4"/>
        <v>4.03</v>
      </c>
      <c r="J9" s="11" t="s">
        <v>26</v>
      </c>
    </row>
    <row r="10">
      <c r="A10" s="12" t="s">
        <v>10</v>
      </c>
      <c r="B10" s="4" t="s">
        <v>27</v>
      </c>
      <c r="C10" s="4">
        <f t="shared" si="1"/>
        <v>45876</v>
      </c>
      <c r="D10" s="6" t="str">
        <f t="shared" si="2"/>
        <v>2025-08</v>
      </c>
      <c r="E10" s="7">
        <f t="shared" si="3"/>
        <v>4975</v>
      </c>
      <c r="F10" s="8">
        <v>199.0</v>
      </c>
      <c r="G10" s="13">
        <v>1.0</v>
      </c>
      <c r="H10" s="7"/>
      <c r="I10" s="7">
        <f t="shared" si="4"/>
        <v>4.02</v>
      </c>
      <c r="J10" s="11" t="s">
        <v>28</v>
      </c>
    </row>
    <row r="11">
      <c r="A11" s="12" t="s">
        <v>10</v>
      </c>
      <c r="B11" s="4" t="s">
        <v>29</v>
      </c>
      <c r="C11" s="4">
        <f t="shared" si="1"/>
        <v>45916</v>
      </c>
      <c r="D11" s="6" t="str">
        <f t="shared" si="2"/>
        <v>2025-09</v>
      </c>
      <c r="E11" s="7">
        <f t="shared" si="3"/>
        <v>2800</v>
      </c>
      <c r="F11" s="8">
        <v>112.0</v>
      </c>
      <c r="G11" s="13">
        <v>0.0</v>
      </c>
      <c r="H11" s="7"/>
      <c r="I11" s="7">
        <f t="shared" si="4"/>
        <v>4</v>
      </c>
      <c r="J11" s="11" t="s">
        <v>30</v>
      </c>
    </row>
    <row r="12">
      <c r="A12" s="12" t="s">
        <v>10</v>
      </c>
      <c r="B12" s="4" t="s">
        <v>31</v>
      </c>
      <c r="C12" s="4">
        <f t="shared" si="1"/>
        <v>45890</v>
      </c>
      <c r="D12" s="6" t="str">
        <f t="shared" si="2"/>
        <v>2025-08</v>
      </c>
      <c r="E12" s="7">
        <f t="shared" si="3"/>
        <v>2225</v>
      </c>
      <c r="F12" s="8">
        <v>89.0</v>
      </c>
      <c r="G12" s="13">
        <v>0.0</v>
      </c>
      <c r="H12" s="7"/>
      <c r="I12" s="7">
        <f t="shared" si="4"/>
        <v>4</v>
      </c>
      <c r="J12" s="11" t="s">
        <v>32</v>
      </c>
    </row>
    <row r="13">
      <c r="A13" s="12" t="s">
        <v>10</v>
      </c>
      <c r="B13" s="4" t="s">
        <v>33</v>
      </c>
      <c r="C13" s="4">
        <f t="shared" si="1"/>
        <v>45876</v>
      </c>
      <c r="D13" s="6" t="str">
        <f t="shared" si="2"/>
        <v>2025-08</v>
      </c>
      <c r="E13" s="7">
        <f t="shared" si="3"/>
        <v>2625</v>
      </c>
      <c r="F13" s="8">
        <v>105.0</v>
      </c>
      <c r="G13" s="13">
        <v>0.0</v>
      </c>
      <c r="H13" s="7"/>
      <c r="I13" s="7">
        <f t="shared" si="4"/>
        <v>4</v>
      </c>
      <c r="J13" s="11" t="s">
        <v>34</v>
      </c>
    </row>
    <row r="14">
      <c r="A14" s="12" t="s">
        <v>10</v>
      </c>
      <c r="B14" s="4" t="s">
        <v>35</v>
      </c>
      <c r="C14" s="4">
        <f t="shared" si="1"/>
        <v>45947</v>
      </c>
      <c r="D14" s="6" t="str">
        <f t="shared" si="2"/>
        <v>2025-10</v>
      </c>
      <c r="E14" s="7">
        <f t="shared" si="3"/>
        <v>7900</v>
      </c>
      <c r="F14" s="8">
        <v>316.0</v>
      </c>
      <c r="G14" s="13">
        <v>0.0</v>
      </c>
      <c r="H14" s="7"/>
      <c r="I14" s="7">
        <f t="shared" si="4"/>
        <v>4</v>
      </c>
      <c r="J14" s="11" t="s">
        <v>36</v>
      </c>
    </row>
    <row r="15">
      <c r="A15" s="12" t="s">
        <v>10</v>
      </c>
      <c r="B15" s="4" t="s">
        <v>37</v>
      </c>
      <c r="C15" s="4">
        <f t="shared" si="1"/>
        <v>45890</v>
      </c>
      <c r="D15" s="6" t="str">
        <f t="shared" si="2"/>
        <v>2025-08</v>
      </c>
      <c r="E15" s="7">
        <f t="shared" si="3"/>
        <v>3450</v>
      </c>
      <c r="F15" s="8">
        <v>138.0</v>
      </c>
      <c r="G15" s="13">
        <v>0.0</v>
      </c>
      <c r="H15" s="7"/>
      <c r="I15" s="7">
        <f t="shared" si="4"/>
        <v>4</v>
      </c>
      <c r="J15" s="11" t="s">
        <v>38</v>
      </c>
    </row>
    <row r="16">
      <c r="A16" s="12" t="s">
        <v>10</v>
      </c>
      <c r="B16" s="4" t="s">
        <v>39</v>
      </c>
      <c r="C16" s="4">
        <f t="shared" si="1"/>
        <v>45962</v>
      </c>
      <c r="D16" s="6" t="str">
        <f t="shared" si="2"/>
        <v>2025-11</v>
      </c>
      <c r="E16" s="7">
        <f t="shared" si="3"/>
        <v>5450</v>
      </c>
      <c r="F16" s="8">
        <v>218.0</v>
      </c>
      <c r="G16" s="13">
        <v>1.0</v>
      </c>
      <c r="H16" s="7"/>
      <c r="I16" s="7">
        <f t="shared" si="4"/>
        <v>4.02</v>
      </c>
      <c r="J16" s="11" t="s">
        <v>40</v>
      </c>
    </row>
    <row r="17">
      <c r="A17" s="12" t="s">
        <v>10</v>
      </c>
      <c r="B17" s="4" t="s">
        <v>41</v>
      </c>
      <c r="C17" s="4">
        <f t="shared" si="1"/>
        <v>45908</v>
      </c>
      <c r="D17" s="6" t="str">
        <f t="shared" si="2"/>
        <v>2025-09</v>
      </c>
      <c r="E17" s="7">
        <f t="shared" si="3"/>
        <v>4050</v>
      </c>
      <c r="F17" s="8">
        <v>162.0</v>
      </c>
      <c r="G17" s="13">
        <v>0.0</v>
      </c>
      <c r="H17" s="7"/>
      <c r="I17" s="7">
        <f t="shared" si="4"/>
        <v>4</v>
      </c>
      <c r="J17" s="11" t="s">
        <v>42</v>
      </c>
    </row>
    <row r="18">
      <c r="A18" s="12" t="s">
        <v>10</v>
      </c>
      <c r="B18" s="4" t="s">
        <v>43</v>
      </c>
      <c r="C18" s="4">
        <f t="shared" si="1"/>
        <v>45988</v>
      </c>
      <c r="D18" s="6" t="str">
        <f t="shared" si="2"/>
        <v>2025-11</v>
      </c>
      <c r="E18" s="7">
        <f t="shared" si="3"/>
        <v>2700</v>
      </c>
      <c r="F18" s="8">
        <v>108.0</v>
      </c>
      <c r="G18" s="13">
        <v>0.0</v>
      </c>
      <c r="H18" s="7"/>
      <c r="I18" s="7">
        <f t="shared" si="4"/>
        <v>4</v>
      </c>
      <c r="J18" s="11" t="s">
        <v>44</v>
      </c>
    </row>
    <row r="19">
      <c r="A19" s="12" t="s">
        <v>10</v>
      </c>
      <c r="B19" s="4" t="s">
        <v>45</v>
      </c>
      <c r="C19" s="4">
        <f t="shared" si="1"/>
        <v>46059</v>
      </c>
      <c r="D19" s="6" t="str">
        <f t="shared" si="2"/>
        <v>2026-02</v>
      </c>
      <c r="E19" s="7">
        <f t="shared" si="3"/>
        <v>4175</v>
      </c>
      <c r="F19" s="8">
        <v>167.0</v>
      </c>
      <c r="G19" s="13">
        <v>1.0</v>
      </c>
      <c r="H19" s="7"/>
      <c r="I19" s="7">
        <f t="shared" si="4"/>
        <v>4.02</v>
      </c>
      <c r="J19" s="11" t="s">
        <v>46</v>
      </c>
    </row>
    <row r="20">
      <c r="A20" s="12" t="s">
        <v>10</v>
      </c>
      <c r="B20" s="4" t="s">
        <v>47</v>
      </c>
      <c r="C20" s="4">
        <f t="shared" si="1"/>
        <v>46097</v>
      </c>
      <c r="D20" s="6" t="str">
        <f t="shared" si="2"/>
        <v>2026-03</v>
      </c>
      <c r="E20" s="7">
        <f t="shared" si="3"/>
        <v>1550</v>
      </c>
      <c r="F20" s="8">
        <v>62.0</v>
      </c>
      <c r="G20" s="13">
        <v>0.0</v>
      </c>
      <c r="H20" s="7"/>
      <c r="I20" s="7">
        <f t="shared" si="4"/>
        <v>4</v>
      </c>
      <c r="J20" s="11" t="s">
        <v>48</v>
      </c>
    </row>
    <row r="21">
      <c r="A21" s="12" t="s">
        <v>10</v>
      </c>
      <c r="B21" s="4" t="s">
        <v>49</v>
      </c>
      <c r="C21" s="4">
        <f t="shared" si="1"/>
        <v>45853</v>
      </c>
      <c r="D21" s="6" t="str">
        <f t="shared" si="2"/>
        <v>2025-07</v>
      </c>
      <c r="E21" s="7">
        <f t="shared" si="3"/>
        <v>1975</v>
      </c>
      <c r="F21" s="8">
        <v>79.0</v>
      </c>
      <c r="G21" s="13">
        <v>0.0</v>
      </c>
      <c r="H21" s="7"/>
      <c r="I21" s="7">
        <f t="shared" si="4"/>
        <v>4</v>
      </c>
      <c r="J21" s="11" t="s">
        <v>50</v>
      </c>
    </row>
    <row r="22">
      <c r="A22" s="12" t="s">
        <v>10</v>
      </c>
      <c r="B22" s="4" t="s">
        <v>51</v>
      </c>
      <c r="C22" s="4">
        <f t="shared" si="1"/>
        <v>45870</v>
      </c>
      <c r="D22" s="6" t="str">
        <f t="shared" si="2"/>
        <v>2025-08</v>
      </c>
      <c r="E22" s="7">
        <f t="shared" si="3"/>
        <v>1525</v>
      </c>
      <c r="F22" s="8">
        <v>61.0</v>
      </c>
      <c r="G22" s="13">
        <v>0.0</v>
      </c>
      <c r="H22" s="7"/>
      <c r="I22" s="7">
        <f t="shared" si="4"/>
        <v>4</v>
      </c>
      <c r="J22" s="11" t="s">
        <v>52</v>
      </c>
    </row>
    <row r="23">
      <c r="A23" s="12" t="s">
        <v>10</v>
      </c>
      <c r="B23" s="4" t="s">
        <v>53</v>
      </c>
      <c r="C23" s="4">
        <f t="shared" si="1"/>
        <v>45869</v>
      </c>
      <c r="D23" s="6" t="str">
        <f t="shared" si="2"/>
        <v>2025-07</v>
      </c>
      <c r="E23" s="7">
        <f t="shared" si="3"/>
        <v>2300</v>
      </c>
      <c r="F23" s="8">
        <v>92.0</v>
      </c>
      <c r="G23" s="13">
        <v>1.0</v>
      </c>
      <c r="H23" s="7"/>
      <c r="I23" s="7">
        <f t="shared" si="4"/>
        <v>4.04</v>
      </c>
      <c r="J23" s="11" t="s">
        <v>54</v>
      </c>
    </row>
    <row r="24">
      <c r="A24" s="12" t="s">
        <v>10</v>
      </c>
      <c r="B24" s="4" t="s">
        <v>55</v>
      </c>
      <c r="C24" s="4">
        <f t="shared" si="1"/>
        <v>45863</v>
      </c>
      <c r="D24" s="6" t="str">
        <f t="shared" si="2"/>
        <v>2025-07</v>
      </c>
      <c r="E24" s="7">
        <f t="shared" si="3"/>
        <v>3450</v>
      </c>
      <c r="F24" s="8">
        <v>138.0</v>
      </c>
      <c r="G24" s="13">
        <v>0.0</v>
      </c>
      <c r="H24" s="7"/>
      <c r="I24" s="7">
        <f t="shared" si="4"/>
        <v>4</v>
      </c>
      <c r="J24" s="11" t="s">
        <v>56</v>
      </c>
    </row>
    <row r="25">
      <c r="A25" s="12" t="s">
        <v>10</v>
      </c>
      <c r="B25" s="4" t="s">
        <v>57</v>
      </c>
      <c r="C25" s="4">
        <f t="shared" si="1"/>
        <v>45855</v>
      </c>
      <c r="D25" s="6" t="str">
        <f t="shared" si="2"/>
        <v>2025-07</v>
      </c>
      <c r="E25" s="7">
        <f t="shared" si="3"/>
        <v>2350</v>
      </c>
      <c r="F25" s="8">
        <v>94.0</v>
      </c>
      <c r="G25" s="13">
        <v>2.0</v>
      </c>
      <c r="H25" s="7"/>
      <c r="I25" s="7">
        <f t="shared" si="4"/>
        <v>4.09</v>
      </c>
      <c r="J25" s="11" t="s">
        <v>58</v>
      </c>
    </row>
    <row r="26">
      <c r="A26" s="12" t="s">
        <v>10</v>
      </c>
      <c r="B26" s="4" t="s">
        <v>59</v>
      </c>
      <c r="C26" s="4">
        <f t="shared" si="1"/>
        <v>45862</v>
      </c>
      <c r="D26" s="6" t="str">
        <f t="shared" si="2"/>
        <v>2025-07</v>
      </c>
      <c r="E26" s="7">
        <f t="shared" si="3"/>
        <v>3650</v>
      </c>
      <c r="F26" s="8">
        <v>146.0</v>
      </c>
      <c r="G26" s="13">
        <v>1.0</v>
      </c>
      <c r="H26" s="7"/>
      <c r="I26" s="7">
        <f t="shared" si="4"/>
        <v>4.03</v>
      </c>
      <c r="J26" s="11" t="s">
        <v>60</v>
      </c>
    </row>
    <row r="27">
      <c r="A27" s="12" t="s">
        <v>10</v>
      </c>
      <c r="B27" s="4" t="s">
        <v>61</v>
      </c>
      <c r="C27" s="4">
        <f t="shared" si="1"/>
        <v>45869</v>
      </c>
      <c r="D27" s="6" t="str">
        <f t="shared" si="2"/>
        <v>2025-07</v>
      </c>
      <c r="E27" s="7">
        <f t="shared" si="3"/>
        <v>3225</v>
      </c>
      <c r="F27" s="8">
        <v>129.0</v>
      </c>
      <c r="G27" s="13">
        <v>0.0</v>
      </c>
      <c r="H27" s="7"/>
      <c r="I27" s="7">
        <f t="shared" si="4"/>
        <v>4</v>
      </c>
      <c r="J27" s="11" t="s">
        <v>62</v>
      </c>
    </row>
    <row r="28">
      <c r="A28" s="12" t="s">
        <v>10</v>
      </c>
      <c r="B28" s="4" t="s">
        <v>63</v>
      </c>
      <c r="C28" s="4">
        <f t="shared" si="1"/>
        <v>45764</v>
      </c>
      <c r="D28" s="6" t="str">
        <f t="shared" si="2"/>
        <v>2025-04</v>
      </c>
      <c r="E28" s="7">
        <f t="shared" si="3"/>
        <v>3925</v>
      </c>
      <c r="F28" s="8">
        <v>157.0</v>
      </c>
      <c r="G28" s="13">
        <v>1.0</v>
      </c>
      <c r="H28" s="7"/>
      <c r="I28" s="7">
        <f t="shared" si="4"/>
        <v>4.03</v>
      </c>
      <c r="J28" s="11" t="s">
        <v>64</v>
      </c>
    </row>
    <row r="29">
      <c r="A29" s="12" t="s">
        <v>10</v>
      </c>
      <c r="B29" s="4" t="s">
        <v>65</v>
      </c>
      <c r="C29" s="4">
        <f t="shared" si="1"/>
        <v>45862</v>
      </c>
      <c r="D29" s="6" t="str">
        <f t="shared" si="2"/>
        <v>2025-07</v>
      </c>
      <c r="E29" s="7">
        <f t="shared" si="3"/>
        <v>6800</v>
      </c>
      <c r="F29" s="8">
        <v>272.0</v>
      </c>
      <c r="G29" s="13">
        <v>1.0</v>
      </c>
      <c r="H29" s="7"/>
      <c r="I29" s="7">
        <f t="shared" si="4"/>
        <v>4.01</v>
      </c>
      <c r="J29" s="11" t="s">
        <v>66</v>
      </c>
    </row>
    <row r="30">
      <c r="A30" s="12" t="s">
        <v>10</v>
      </c>
      <c r="B30" s="4" t="s">
        <v>67</v>
      </c>
      <c r="C30" s="4">
        <f t="shared" si="1"/>
        <v>45965</v>
      </c>
      <c r="D30" s="6" t="str">
        <f t="shared" si="2"/>
        <v>2025-11</v>
      </c>
      <c r="E30" s="7">
        <f t="shared" si="3"/>
        <v>2450</v>
      </c>
      <c r="F30" s="8">
        <v>98.0</v>
      </c>
      <c r="G30" s="13">
        <v>0.0</v>
      </c>
      <c r="H30" s="7"/>
      <c r="I30" s="7">
        <f t="shared" si="4"/>
        <v>4</v>
      </c>
      <c r="J30" s="11" t="s">
        <v>68</v>
      </c>
    </row>
    <row r="31">
      <c r="A31" s="12" t="s">
        <v>10</v>
      </c>
      <c r="B31" s="4" t="s">
        <v>69</v>
      </c>
      <c r="C31" s="4">
        <f t="shared" si="1"/>
        <v>45890</v>
      </c>
      <c r="D31" s="6" t="str">
        <f t="shared" si="2"/>
        <v>2025-08</v>
      </c>
      <c r="E31" s="7">
        <f t="shared" si="3"/>
        <v>3775</v>
      </c>
      <c r="F31" s="8">
        <v>151.0</v>
      </c>
      <c r="G31" s="13">
        <v>0.0</v>
      </c>
      <c r="H31" s="7"/>
      <c r="I31" s="7">
        <f t="shared" si="4"/>
        <v>4</v>
      </c>
      <c r="J31" s="11" t="s">
        <v>70</v>
      </c>
    </row>
    <row r="32">
      <c r="A32" s="12" t="s">
        <v>10</v>
      </c>
      <c r="B32" s="4" t="s">
        <v>71</v>
      </c>
      <c r="C32" s="4">
        <f t="shared" si="1"/>
        <v>45926</v>
      </c>
      <c r="D32" s="6" t="str">
        <f t="shared" si="2"/>
        <v>2025-09</v>
      </c>
      <c r="E32" s="7">
        <f t="shared" si="3"/>
        <v>5300</v>
      </c>
      <c r="F32" s="8">
        <v>212.0</v>
      </c>
      <c r="G32" s="13">
        <v>1.0</v>
      </c>
      <c r="H32" s="7"/>
      <c r="I32" s="7">
        <f t="shared" si="4"/>
        <v>4.02</v>
      </c>
      <c r="J32" s="11" t="s">
        <v>72</v>
      </c>
    </row>
    <row r="33">
      <c r="A33" s="12" t="s">
        <v>10</v>
      </c>
      <c r="B33" s="4" t="s">
        <v>73</v>
      </c>
      <c r="C33" s="4">
        <f t="shared" si="1"/>
        <v>45876</v>
      </c>
      <c r="D33" s="6" t="str">
        <f t="shared" si="2"/>
        <v>2025-08</v>
      </c>
      <c r="E33" s="7">
        <f t="shared" si="3"/>
        <v>2925</v>
      </c>
      <c r="F33" s="8">
        <v>117.0</v>
      </c>
      <c r="G33" s="13">
        <v>0.0</v>
      </c>
      <c r="H33" s="7"/>
      <c r="I33" s="7">
        <f t="shared" si="4"/>
        <v>4</v>
      </c>
      <c r="J33" s="11" t="s">
        <v>74</v>
      </c>
    </row>
    <row r="34">
      <c r="A34" s="12" t="s">
        <v>10</v>
      </c>
      <c r="B34" s="4" t="s">
        <v>75</v>
      </c>
      <c r="C34" s="4">
        <f t="shared" si="1"/>
        <v>46045</v>
      </c>
      <c r="D34" s="6" t="str">
        <f t="shared" si="2"/>
        <v>2026-01</v>
      </c>
      <c r="E34" s="7">
        <f t="shared" si="3"/>
        <v>1250</v>
      </c>
      <c r="F34" s="8">
        <v>50.0</v>
      </c>
      <c r="G34" s="13">
        <v>0.0</v>
      </c>
      <c r="H34" s="7"/>
      <c r="I34" s="7">
        <f t="shared" si="4"/>
        <v>4</v>
      </c>
      <c r="J34" s="11" t="s">
        <v>76</v>
      </c>
    </row>
    <row r="35">
      <c r="A35" s="12" t="s">
        <v>10</v>
      </c>
      <c r="B35" s="4" t="s">
        <v>77</v>
      </c>
      <c r="C35" s="4">
        <f t="shared" si="1"/>
        <v>45870</v>
      </c>
      <c r="D35" s="6" t="str">
        <f t="shared" si="2"/>
        <v>2025-08</v>
      </c>
      <c r="E35" s="7">
        <f t="shared" si="3"/>
        <v>1425</v>
      </c>
      <c r="F35" s="8">
        <v>57.0</v>
      </c>
      <c r="G35" s="13">
        <v>0.0</v>
      </c>
      <c r="H35" s="7"/>
      <c r="I35" s="7">
        <f t="shared" si="4"/>
        <v>4</v>
      </c>
      <c r="J35" s="11" t="s">
        <v>78</v>
      </c>
    </row>
    <row r="36">
      <c r="A36" s="12" t="s">
        <v>10</v>
      </c>
      <c r="B36" s="4" t="s">
        <v>79</v>
      </c>
      <c r="C36" s="4">
        <f t="shared" si="1"/>
        <v>45869</v>
      </c>
      <c r="D36" s="6" t="str">
        <f t="shared" si="2"/>
        <v>2025-07</v>
      </c>
      <c r="E36" s="7">
        <f t="shared" si="3"/>
        <v>2675</v>
      </c>
      <c r="F36" s="8">
        <v>107.0</v>
      </c>
      <c r="G36" s="13">
        <v>1.0</v>
      </c>
      <c r="H36" s="7"/>
      <c r="I36" s="7">
        <f t="shared" si="4"/>
        <v>4.04</v>
      </c>
      <c r="J36" s="11" t="s">
        <v>80</v>
      </c>
    </row>
    <row r="37">
      <c r="A37" s="12" t="s">
        <v>10</v>
      </c>
      <c r="B37" s="4" t="s">
        <v>81</v>
      </c>
      <c r="C37" s="4">
        <f t="shared" si="1"/>
        <v>45748</v>
      </c>
      <c r="D37" s="6" t="str">
        <f t="shared" si="2"/>
        <v>2025-04</v>
      </c>
      <c r="E37" s="7">
        <f t="shared" si="3"/>
        <v>2575</v>
      </c>
      <c r="F37" s="8">
        <v>103.0</v>
      </c>
      <c r="G37" s="13">
        <v>0.0</v>
      </c>
      <c r="H37" s="7"/>
      <c r="I37" s="7">
        <f t="shared" si="4"/>
        <v>4</v>
      </c>
      <c r="J37" s="11" t="s">
        <v>82</v>
      </c>
    </row>
    <row r="38">
      <c r="A38" s="12" t="s">
        <v>10</v>
      </c>
      <c r="B38" s="4" t="s">
        <v>83</v>
      </c>
      <c r="C38" s="4">
        <f t="shared" si="1"/>
        <v>45749</v>
      </c>
      <c r="D38" s="6" t="str">
        <f t="shared" si="2"/>
        <v>2025-04</v>
      </c>
      <c r="E38" s="7">
        <f t="shared" si="3"/>
        <v>1700</v>
      </c>
      <c r="F38" s="8">
        <v>68.0</v>
      </c>
      <c r="G38" s="13">
        <v>0.0</v>
      </c>
      <c r="H38" s="7"/>
      <c r="I38" s="7">
        <f t="shared" si="4"/>
        <v>4</v>
      </c>
      <c r="J38" s="11" t="s">
        <v>84</v>
      </c>
    </row>
    <row r="39">
      <c r="A39" s="12" t="s">
        <v>10</v>
      </c>
      <c r="B39" s="4" t="s">
        <v>85</v>
      </c>
      <c r="C39" s="4">
        <f t="shared" si="1"/>
        <v>45762</v>
      </c>
      <c r="D39" s="6" t="str">
        <f t="shared" si="2"/>
        <v>2025-04</v>
      </c>
      <c r="E39" s="7">
        <f t="shared" si="3"/>
        <v>3500</v>
      </c>
      <c r="F39" s="8">
        <v>140.0</v>
      </c>
      <c r="G39" s="13">
        <v>0.0</v>
      </c>
      <c r="H39" s="7"/>
      <c r="I39" s="7">
        <f t="shared" si="4"/>
        <v>4</v>
      </c>
      <c r="J39" s="11" t="s">
        <v>86</v>
      </c>
    </row>
    <row r="40">
      <c r="A40" s="12" t="s">
        <v>10</v>
      </c>
      <c r="B40" s="4" t="s">
        <v>87</v>
      </c>
      <c r="C40" s="4">
        <f t="shared" si="1"/>
        <v>45749</v>
      </c>
      <c r="D40" s="6" t="str">
        <f t="shared" si="2"/>
        <v>2025-04</v>
      </c>
      <c r="E40" s="7">
        <f t="shared" si="3"/>
        <v>2000</v>
      </c>
      <c r="F40" s="8">
        <v>80.0</v>
      </c>
      <c r="G40" s="13">
        <v>0.0</v>
      </c>
      <c r="H40" s="7"/>
      <c r="I40" s="7">
        <f t="shared" si="4"/>
        <v>4</v>
      </c>
      <c r="J40" s="11" t="s">
        <v>88</v>
      </c>
    </row>
    <row r="41">
      <c r="A41" s="12" t="s">
        <v>10</v>
      </c>
      <c r="B41" s="4" t="s">
        <v>89</v>
      </c>
      <c r="C41" s="4">
        <f t="shared" si="1"/>
        <v>45751</v>
      </c>
      <c r="D41" s="6" t="str">
        <f t="shared" si="2"/>
        <v>2025-04</v>
      </c>
      <c r="E41" s="7">
        <f t="shared" si="3"/>
        <v>1675</v>
      </c>
      <c r="F41" s="8">
        <v>67.0</v>
      </c>
      <c r="G41" s="13">
        <v>1.0</v>
      </c>
      <c r="H41" s="7"/>
      <c r="I41" s="7">
        <f t="shared" si="4"/>
        <v>4.06</v>
      </c>
      <c r="J41" s="11" t="s">
        <v>90</v>
      </c>
    </row>
    <row r="42">
      <c r="A42" s="12" t="s">
        <v>10</v>
      </c>
      <c r="B42" s="4" t="s">
        <v>91</v>
      </c>
      <c r="C42" s="4">
        <f t="shared" si="1"/>
        <v>45755</v>
      </c>
      <c r="D42" s="6" t="str">
        <f t="shared" si="2"/>
        <v>2025-04</v>
      </c>
      <c r="E42" s="7">
        <f t="shared" si="3"/>
        <v>5550</v>
      </c>
      <c r="F42" s="8">
        <v>222.0</v>
      </c>
      <c r="G42" s="13">
        <v>2.0</v>
      </c>
      <c r="H42" s="7"/>
      <c r="I42" s="7">
        <f t="shared" si="4"/>
        <v>4.04</v>
      </c>
      <c r="J42" s="11" t="s">
        <v>92</v>
      </c>
    </row>
    <row r="43">
      <c r="A43" s="12" t="s">
        <v>10</v>
      </c>
      <c r="B43" s="4" t="s">
        <v>93</v>
      </c>
      <c r="C43" s="4">
        <f t="shared" si="1"/>
        <v>45748</v>
      </c>
      <c r="D43" s="6" t="str">
        <f t="shared" si="2"/>
        <v>2025-04</v>
      </c>
      <c r="E43" s="7">
        <f t="shared" si="3"/>
        <v>2950</v>
      </c>
      <c r="F43" s="8">
        <v>118.0</v>
      </c>
      <c r="G43" s="13">
        <v>1.0</v>
      </c>
      <c r="H43" s="7"/>
      <c r="I43" s="7">
        <f t="shared" si="4"/>
        <v>4.03</v>
      </c>
      <c r="J43" s="11" t="s">
        <v>94</v>
      </c>
    </row>
    <row r="44">
      <c r="A44" s="12" t="s">
        <v>10</v>
      </c>
      <c r="B44" s="4" t="s">
        <v>95</v>
      </c>
      <c r="C44" s="4">
        <f t="shared" si="1"/>
        <v>45757</v>
      </c>
      <c r="D44" s="6" t="str">
        <f t="shared" si="2"/>
        <v>2025-04</v>
      </c>
      <c r="E44" s="7">
        <f t="shared" si="3"/>
        <v>4800</v>
      </c>
      <c r="F44" s="8">
        <v>192.0</v>
      </c>
      <c r="G44" s="13">
        <v>2.0</v>
      </c>
      <c r="H44" s="7"/>
      <c r="I44" s="7">
        <f t="shared" si="4"/>
        <v>4.04</v>
      </c>
      <c r="J44" s="11" t="s">
        <v>96</v>
      </c>
    </row>
    <row r="45">
      <c r="A45" s="12" t="s">
        <v>10</v>
      </c>
      <c r="B45" s="4" t="s">
        <v>97</v>
      </c>
      <c r="C45" s="4">
        <f t="shared" si="1"/>
        <v>45751</v>
      </c>
      <c r="D45" s="6" t="str">
        <f t="shared" si="2"/>
        <v>2025-04</v>
      </c>
      <c r="E45" s="7">
        <f t="shared" si="3"/>
        <v>1100</v>
      </c>
      <c r="F45" s="8">
        <v>44.0</v>
      </c>
      <c r="G45" s="13">
        <v>0.0</v>
      </c>
      <c r="H45" s="7"/>
      <c r="I45" s="7">
        <f t="shared" si="4"/>
        <v>4</v>
      </c>
      <c r="J45" s="11" t="s">
        <v>98</v>
      </c>
    </row>
    <row r="46">
      <c r="A46" s="12" t="s">
        <v>10</v>
      </c>
      <c r="B46" s="4" t="s">
        <v>99</v>
      </c>
      <c r="C46" s="4">
        <f t="shared" si="1"/>
        <v>45750</v>
      </c>
      <c r="D46" s="6" t="str">
        <f t="shared" si="2"/>
        <v>2025-04</v>
      </c>
      <c r="E46" s="7">
        <f t="shared" si="3"/>
        <v>1650</v>
      </c>
      <c r="F46" s="8">
        <v>66.0</v>
      </c>
      <c r="G46" s="13">
        <v>0.0</v>
      </c>
      <c r="H46" s="7"/>
      <c r="I46" s="7">
        <f t="shared" si="4"/>
        <v>4</v>
      </c>
      <c r="J46" s="11" t="s">
        <v>100</v>
      </c>
    </row>
    <row r="47">
      <c r="A47" s="12" t="s">
        <v>10</v>
      </c>
      <c r="B47" s="4" t="s">
        <v>101</v>
      </c>
      <c r="C47" s="4">
        <f t="shared" si="1"/>
        <v>45748</v>
      </c>
      <c r="D47" s="6" t="str">
        <f t="shared" si="2"/>
        <v>2025-04</v>
      </c>
      <c r="E47" s="7">
        <f t="shared" si="3"/>
        <v>2050</v>
      </c>
      <c r="F47" s="8">
        <v>82.0</v>
      </c>
      <c r="G47" s="13">
        <v>1.0</v>
      </c>
      <c r="H47" s="7"/>
      <c r="I47" s="7">
        <f t="shared" si="4"/>
        <v>4.05</v>
      </c>
      <c r="J47" s="11" t="s">
        <v>102</v>
      </c>
    </row>
    <row r="48">
      <c r="A48" s="12" t="s">
        <v>10</v>
      </c>
      <c r="B48" s="4" t="s">
        <v>103</v>
      </c>
      <c r="C48" s="4">
        <f t="shared" si="1"/>
        <v>45876</v>
      </c>
      <c r="D48" s="6" t="str">
        <f t="shared" si="2"/>
        <v>2025-08</v>
      </c>
      <c r="E48" s="7">
        <f t="shared" si="3"/>
        <v>1575</v>
      </c>
      <c r="F48" s="8">
        <v>63.0</v>
      </c>
      <c r="G48" s="13">
        <v>0.0</v>
      </c>
      <c r="H48" s="7"/>
      <c r="I48" s="7">
        <f t="shared" si="4"/>
        <v>4</v>
      </c>
      <c r="J48" s="11" t="s">
        <v>104</v>
      </c>
    </row>
    <row r="49">
      <c r="A49" s="12" t="s">
        <v>10</v>
      </c>
      <c r="B49" s="4" t="s">
        <v>105</v>
      </c>
      <c r="C49" s="4">
        <f t="shared" si="1"/>
        <v>45733</v>
      </c>
      <c r="D49" s="6" t="str">
        <f t="shared" si="2"/>
        <v>2025-03</v>
      </c>
      <c r="E49" s="7">
        <f t="shared" si="3"/>
        <v>2600</v>
      </c>
      <c r="F49" s="8">
        <v>104.0</v>
      </c>
      <c r="G49" s="13">
        <v>0.0</v>
      </c>
      <c r="H49" s="7"/>
      <c r="I49" s="7">
        <f t="shared" si="4"/>
        <v>4</v>
      </c>
      <c r="J49" s="11" t="s">
        <v>106</v>
      </c>
    </row>
    <row r="50">
      <c r="A50" s="12" t="s">
        <v>10</v>
      </c>
      <c r="B50" s="4" t="s">
        <v>107</v>
      </c>
      <c r="C50" s="4">
        <f t="shared" si="1"/>
        <v>45734</v>
      </c>
      <c r="D50" s="6" t="str">
        <f t="shared" si="2"/>
        <v>2025-03</v>
      </c>
      <c r="E50" s="7">
        <f t="shared" si="3"/>
        <v>1500</v>
      </c>
      <c r="F50" s="8">
        <v>60.0</v>
      </c>
      <c r="G50" s="13">
        <v>0.0</v>
      </c>
      <c r="H50" s="7"/>
      <c r="I50" s="7">
        <f t="shared" si="4"/>
        <v>4</v>
      </c>
      <c r="J50" s="11" t="s">
        <v>108</v>
      </c>
    </row>
    <row r="51">
      <c r="A51" s="12" t="s">
        <v>10</v>
      </c>
      <c r="B51" s="4" t="s">
        <v>109</v>
      </c>
      <c r="C51" s="4">
        <f t="shared" si="1"/>
        <v>45734</v>
      </c>
      <c r="D51" s="6" t="str">
        <f t="shared" si="2"/>
        <v>2025-03</v>
      </c>
      <c r="E51" s="7">
        <f t="shared" si="3"/>
        <v>1925</v>
      </c>
      <c r="F51" s="8">
        <v>77.0</v>
      </c>
      <c r="G51" s="13">
        <v>0.0</v>
      </c>
      <c r="H51" s="7"/>
      <c r="I51" s="7">
        <f t="shared" si="4"/>
        <v>4</v>
      </c>
      <c r="J51" s="11" t="s">
        <v>110</v>
      </c>
    </row>
    <row r="52">
      <c r="A52" s="12" t="s">
        <v>10</v>
      </c>
      <c r="B52" s="4" t="s">
        <v>111</v>
      </c>
      <c r="C52" s="4">
        <f t="shared" si="1"/>
        <v>45745</v>
      </c>
      <c r="D52" s="6" t="str">
        <f t="shared" si="2"/>
        <v>2025-03</v>
      </c>
      <c r="E52" s="7">
        <f t="shared" si="3"/>
        <v>1650</v>
      </c>
      <c r="F52" s="8">
        <v>66.0</v>
      </c>
      <c r="G52" s="13">
        <v>0.0</v>
      </c>
      <c r="H52" s="7"/>
      <c r="I52" s="7">
        <f t="shared" si="4"/>
        <v>4</v>
      </c>
      <c r="J52" s="11" t="s">
        <v>112</v>
      </c>
    </row>
    <row r="53">
      <c r="A53" s="12" t="s">
        <v>10</v>
      </c>
      <c r="B53" s="4" t="s">
        <v>113</v>
      </c>
      <c r="C53" s="4">
        <f t="shared" si="1"/>
        <v>45734</v>
      </c>
      <c r="D53" s="6" t="str">
        <f t="shared" si="2"/>
        <v>2025-03</v>
      </c>
      <c r="E53" s="7">
        <f t="shared" si="3"/>
        <v>1600</v>
      </c>
      <c r="F53" s="8">
        <v>64.0</v>
      </c>
      <c r="G53" s="13">
        <v>0.0</v>
      </c>
      <c r="H53" s="7"/>
      <c r="I53" s="7">
        <f t="shared" si="4"/>
        <v>4</v>
      </c>
      <c r="J53" s="11" t="s">
        <v>114</v>
      </c>
    </row>
    <row r="54">
      <c r="A54" s="12" t="s">
        <v>10</v>
      </c>
      <c r="B54" s="4" t="s">
        <v>115</v>
      </c>
      <c r="C54" s="4">
        <f t="shared" si="1"/>
        <v>45736</v>
      </c>
      <c r="D54" s="6" t="str">
        <f t="shared" si="2"/>
        <v>2025-03</v>
      </c>
      <c r="E54" s="7">
        <f t="shared" si="3"/>
        <v>2950</v>
      </c>
      <c r="F54" s="8">
        <v>118.0</v>
      </c>
      <c r="G54" s="13">
        <v>2.0</v>
      </c>
      <c r="H54" s="7"/>
      <c r="I54" s="7">
        <f t="shared" si="4"/>
        <v>4.07</v>
      </c>
      <c r="J54" s="11" t="s">
        <v>116</v>
      </c>
    </row>
    <row r="55">
      <c r="A55" s="12" t="s">
        <v>10</v>
      </c>
      <c r="B55" s="4" t="s">
        <v>117</v>
      </c>
      <c r="C55" s="4">
        <f t="shared" si="1"/>
        <v>45734</v>
      </c>
      <c r="D55" s="6" t="str">
        <f t="shared" si="2"/>
        <v>2025-03</v>
      </c>
      <c r="E55" s="7">
        <f t="shared" si="3"/>
        <v>2550</v>
      </c>
      <c r="F55" s="8">
        <v>102.0</v>
      </c>
      <c r="G55" s="13">
        <v>0.0</v>
      </c>
      <c r="H55" s="7"/>
      <c r="I55" s="7">
        <f t="shared" si="4"/>
        <v>4</v>
      </c>
      <c r="J55" s="11" t="s">
        <v>118</v>
      </c>
    </row>
    <row r="56">
      <c r="A56" s="12" t="s">
        <v>10</v>
      </c>
      <c r="B56" s="4" t="s">
        <v>119</v>
      </c>
      <c r="C56" s="4">
        <f t="shared" si="1"/>
        <v>45750</v>
      </c>
      <c r="D56" s="6" t="str">
        <f t="shared" si="2"/>
        <v>2025-04</v>
      </c>
      <c r="E56" s="7">
        <f t="shared" si="3"/>
        <v>2175</v>
      </c>
      <c r="F56" s="8">
        <v>87.0</v>
      </c>
      <c r="G56" s="13">
        <v>0.0</v>
      </c>
      <c r="H56" s="7"/>
      <c r="I56" s="7">
        <f t="shared" si="4"/>
        <v>4</v>
      </c>
      <c r="J56" s="11" t="s">
        <v>120</v>
      </c>
    </row>
    <row r="57">
      <c r="A57" s="12" t="s">
        <v>10</v>
      </c>
      <c r="B57" s="4" t="s">
        <v>121</v>
      </c>
      <c r="C57" s="4">
        <f t="shared" si="1"/>
        <v>45736</v>
      </c>
      <c r="D57" s="6" t="str">
        <f t="shared" si="2"/>
        <v>2025-03</v>
      </c>
      <c r="E57" s="7">
        <f t="shared" si="3"/>
        <v>1750</v>
      </c>
      <c r="F57" s="8">
        <v>70.0</v>
      </c>
      <c r="G57" s="13">
        <v>0.0</v>
      </c>
      <c r="H57" s="7"/>
      <c r="I57" s="7">
        <f t="shared" si="4"/>
        <v>4</v>
      </c>
      <c r="J57" s="11" t="s">
        <v>122</v>
      </c>
    </row>
    <row r="58">
      <c r="A58" s="12" t="s">
        <v>10</v>
      </c>
      <c r="B58" s="4" t="s">
        <v>123</v>
      </c>
      <c r="C58" s="4">
        <f t="shared" si="1"/>
        <v>45745</v>
      </c>
      <c r="D58" s="6" t="str">
        <f t="shared" si="2"/>
        <v>2025-03</v>
      </c>
      <c r="E58" s="7">
        <f t="shared" si="3"/>
        <v>7300</v>
      </c>
      <c r="F58" s="8">
        <v>292.0</v>
      </c>
      <c r="G58" s="13">
        <v>0.0</v>
      </c>
      <c r="H58" s="7"/>
      <c r="I58" s="7">
        <f t="shared" si="4"/>
        <v>4</v>
      </c>
      <c r="J58" s="11" t="s">
        <v>124</v>
      </c>
    </row>
    <row r="59">
      <c r="A59" s="12" t="s">
        <v>10</v>
      </c>
      <c r="B59" s="4" t="s">
        <v>125</v>
      </c>
      <c r="C59" s="4">
        <f t="shared" si="1"/>
        <v>45727</v>
      </c>
      <c r="D59" s="6" t="str">
        <f t="shared" si="2"/>
        <v>2025-03</v>
      </c>
      <c r="E59" s="7">
        <f t="shared" si="3"/>
        <v>3375</v>
      </c>
      <c r="F59" s="8">
        <v>135.0</v>
      </c>
      <c r="G59" s="13">
        <v>0.0</v>
      </c>
      <c r="H59" s="7"/>
      <c r="I59" s="7">
        <f t="shared" si="4"/>
        <v>4</v>
      </c>
      <c r="J59" s="11" t="s">
        <v>126</v>
      </c>
    </row>
    <row r="60">
      <c r="A60" s="12" t="s">
        <v>10</v>
      </c>
      <c r="B60" s="4" t="s">
        <v>127</v>
      </c>
      <c r="C60" s="4">
        <f t="shared" si="1"/>
        <v>45727</v>
      </c>
      <c r="D60" s="6" t="str">
        <f t="shared" si="2"/>
        <v>2025-03</v>
      </c>
      <c r="E60" s="7">
        <f t="shared" si="3"/>
        <v>14725</v>
      </c>
      <c r="F60" s="8">
        <v>589.0</v>
      </c>
      <c r="G60" s="13">
        <v>3.0</v>
      </c>
      <c r="H60" s="7"/>
      <c r="I60" s="7">
        <f t="shared" si="4"/>
        <v>4.02</v>
      </c>
      <c r="J60" s="11" t="s">
        <v>128</v>
      </c>
    </row>
    <row r="61">
      <c r="A61" s="12" t="s">
        <v>10</v>
      </c>
      <c r="B61" s="4" t="s">
        <v>129</v>
      </c>
      <c r="C61" s="4">
        <f t="shared" si="1"/>
        <v>45728</v>
      </c>
      <c r="D61" s="6" t="str">
        <f t="shared" si="2"/>
        <v>2025-03</v>
      </c>
      <c r="E61" s="7">
        <f t="shared" si="3"/>
        <v>2475</v>
      </c>
      <c r="F61" s="8">
        <v>99.0</v>
      </c>
      <c r="G61" s="13">
        <v>1.0</v>
      </c>
      <c r="H61" s="7"/>
      <c r="I61" s="7">
        <f t="shared" si="4"/>
        <v>4.04</v>
      </c>
      <c r="J61" s="11" t="s">
        <v>130</v>
      </c>
    </row>
    <row r="62">
      <c r="A62" s="12" t="s">
        <v>10</v>
      </c>
      <c r="B62" s="4" t="s">
        <v>131</v>
      </c>
      <c r="C62" s="4">
        <f t="shared" si="1"/>
        <v>45733</v>
      </c>
      <c r="D62" s="6" t="str">
        <f t="shared" si="2"/>
        <v>2025-03</v>
      </c>
      <c r="E62" s="7">
        <f t="shared" si="3"/>
        <v>2775</v>
      </c>
      <c r="F62" s="8">
        <v>111.0</v>
      </c>
      <c r="G62" s="13">
        <v>0.0</v>
      </c>
      <c r="H62" s="7"/>
      <c r="I62" s="7">
        <f t="shared" si="4"/>
        <v>4</v>
      </c>
      <c r="J62" s="11" t="s">
        <v>132</v>
      </c>
    </row>
    <row r="63">
      <c r="A63" s="12" t="s">
        <v>10</v>
      </c>
      <c r="B63" s="4" t="s">
        <v>133</v>
      </c>
      <c r="C63" s="4">
        <f t="shared" si="1"/>
        <v>45729</v>
      </c>
      <c r="D63" s="6" t="str">
        <f t="shared" si="2"/>
        <v>2025-03</v>
      </c>
      <c r="E63" s="7">
        <f t="shared" si="3"/>
        <v>1825</v>
      </c>
      <c r="F63" s="8">
        <v>73.0</v>
      </c>
      <c r="G63" s="13">
        <v>0.0</v>
      </c>
      <c r="H63" s="7"/>
      <c r="I63" s="7">
        <f t="shared" si="4"/>
        <v>4</v>
      </c>
      <c r="J63" s="11" t="s">
        <v>134</v>
      </c>
    </row>
    <row r="64">
      <c r="A64" s="12" t="s">
        <v>10</v>
      </c>
      <c r="B64" s="4" t="s">
        <v>135</v>
      </c>
      <c r="C64" s="4">
        <f t="shared" si="1"/>
        <v>45728</v>
      </c>
      <c r="D64" s="6" t="str">
        <f t="shared" si="2"/>
        <v>2025-03</v>
      </c>
      <c r="E64" s="7">
        <f t="shared" si="3"/>
        <v>3725</v>
      </c>
      <c r="F64" s="8">
        <v>149.0</v>
      </c>
      <c r="G64" s="13">
        <v>0.0</v>
      </c>
      <c r="H64" s="7"/>
      <c r="I64" s="7">
        <f t="shared" si="4"/>
        <v>4</v>
      </c>
      <c r="J64" s="11" t="s">
        <v>136</v>
      </c>
    </row>
    <row r="65">
      <c r="A65" s="12" t="s">
        <v>10</v>
      </c>
      <c r="B65" s="4" t="s">
        <v>137</v>
      </c>
      <c r="C65" s="4">
        <f t="shared" si="1"/>
        <v>45723</v>
      </c>
      <c r="D65" s="6" t="str">
        <f t="shared" si="2"/>
        <v>2025-03</v>
      </c>
      <c r="E65" s="7">
        <f t="shared" si="3"/>
        <v>3575</v>
      </c>
      <c r="F65" s="8">
        <v>143.0</v>
      </c>
      <c r="G65" s="13">
        <v>2.0</v>
      </c>
      <c r="H65" s="7"/>
      <c r="I65" s="7">
        <f t="shared" si="4"/>
        <v>4.06</v>
      </c>
      <c r="J65" s="11" t="s">
        <v>138</v>
      </c>
    </row>
    <row r="66">
      <c r="A66" s="12" t="s">
        <v>10</v>
      </c>
      <c r="B66" s="4" t="s">
        <v>139</v>
      </c>
      <c r="C66" s="4">
        <f t="shared" si="1"/>
        <v>45728</v>
      </c>
      <c r="D66" s="6" t="str">
        <f t="shared" si="2"/>
        <v>2025-03</v>
      </c>
      <c r="E66" s="7">
        <f t="shared" si="3"/>
        <v>2925</v>
      </c>
      <c r="F66" s="8">
        <v>117.0</v>
      </c>
      <c r="G66" s="13">
        <v>1.0</v>
      </c>
      <c r="H66" s="7"/>
      <c r="I66" s="7">
        <f t="shared" si="4"/>
        <v>4.03</v>
      </c>
      <c r="J66" s="11" t="s">
        <v>140</v>
      </c>
    </row>
    <row r="67">
      <c r="A67" s="12" t="s">
        <v>10</v>
      </c>
      <c r="B67" s="4" t="s">
        <v>141</v>
      </c>
      <c r="C67" s="4">
        <f t="shared" si="1"/>
        <v>45733</v>
      </c>
      <c r="D67" s="6" t="str">
        <f t="shared" si="2"/>
        <v>2025-03</v>
      </c>
      <c r="E67" s="7">
        <f t="shared" si="3"/>
        <v>2100</v>
      </c>
      <c r="F67" s="8">
        <v>84.0</v>
      </c>
      <c r="G67" s="13">
        <v>0.0</v>
      </c>
      <c r="H67" s="7"/>
      <c r="I67" s="7">
        <f t="shared" si="4"/>
        <v>4</v>
      </c>
      <c r="J67" s="11" t="s">
        <v>142</v>
      </c>
    </row>
    <row r="68">
      <c r="A68" s="12" t="s">
        <v>10</v>
      </c>
      <c r="B68" s="4" t="s">
        <v>143</v>
      </c>
      <c r="C68" s="4">
        <f t="shared" si="1"/>
        <v>45744</v>
      </c>
      <c r="D68" s="6" t="str">
        <f t="shared" si="2"/>
        <v>2025-03</v>
      </c>
      <c r="E68" s="7">
        <f t="shared" si="3"/>
        <v>2750</v>
      </c>
      <c r="F68" s="8">
        <v>110.0</v>
      </c>
      <c r="G68" s="13">
        <v>0.0</v>
      </c>
      <c r="H68" s="7"/>
      <c r="I68" s="7">
        <f t="shared" si="4"/>
        <v>4</v>
      </c>
      <c r="J68" s="11" t="s">
        <v>144</v>
      </c>
    </row>
    <row r="69">
      <c r="A69" s="12" t="s">
        <v>10</v>
      </c>
      <c r="B69" s="4" t="s">
        <v>145</v>
      </c>
      <c r="C69" s="4">
        <f t="shared" si="1"/>
        <v>45722</v>
      </c>
      <c r="D69" s="6" t="str">
        <f t="shared" si="2"/>
        <v>2025-03</v>
      </c>
      <c r="E69" s="7">
        <f t="shared" si="3"/>
        <v>5650</v>
      </c>
      <c r="F69" s="8">
        <v>226.0</v>
      </c>
      <c r="G69" s="13">
        <v>1.0</v>
      </c>
      <c r="H69" s="7"/>
      <c r="I69" s="7">
        <f t="shared" si="4"/>
        <v>4.02</v>
      </c>
      <c r="J69" s="11" t="s">
        <v>146</v>
      </c>
    </row>
    <row r="70">
      <c r="A70" s="12" t="s">
        <v>10</v>
      </c>
      <c r="B70" s="4" t="s">
        <v>147</v>
      </c>
      <c r="C70" s="4">
        <f t="shared" si="1"/>
        <v>45694</v>
      </c>
      <c r="D70" s="6" t="str">
        <f t="shared" si="2"/>
        <v>2025-02</v>
      </c>
      <c r="E70" s="7">
        <f t="shared" si="3"/>
        <v>6675</v>
      </c>
      <c r="F70" s="8">
        <v>267.0</v>
      </c>
      <c r="G70" s="13">
        <v>0.0</v>
      </c>
      <c r="H70" s="7"/>
      <c r="I70" s="7">
        <f t="shared" si="4"/>
        <v>4</v>
      </c>
      <c r="J70" s="11" t="s">
        <v>148</v>
      </c>
    </row>
    <row r="71">
      <c r="A71" s="12" t="s">
        <v>10</v>
      </c>
      <c r="B71" s="4" t="s">
        <v>149</v>
      </c>
      <c r="C71" s="4">
        <f t="shared" si="1"/>
        <v>45615</v>
      </c>
      <c r="D71" s="6" t="str">
        <f t="shared" si="2"/>
        <v>2024-11</v>
      </c>
      <c r="E71" s="7">
        <f t="shared" si="3"/>
        <v>5675</v>
      </c>
      <c r="F71" s="8">
        <v>227.0</v>
      </c>
      <c r="G71" s="13">
        <v>0.0</v>
      </c>
      <c r="H71" s="7"/>
      <c r="I71" s="7">
        <f t="shared" si="4"/>
        <v>4</v>
      </c>
      <c r="J71" s="11" t="s">
        <v>150</v>
      </c>
    </row>
    <row r="72">
      <c r="A72" s="12" t="s">
        <v>10</v>
      </c>
      <c r="B72" s="4" t="s">
        <v>151</v>
      </c>
      <c r="C72" s="4">
        <f t="shared" si="1"/>
        <v>45650</v>
      </c>
      <c r="D72" s="6" t="str">
        <f t="shared" si="2"/>
        <v>2024-12</v>
      </c>
      <c r="E72" s="7">
        <f t="shared" si="3"/>
        <v>7550</v>
      </c>
      <c r="F72" s="8">
        <v>302.0</v>
      </c>
      <c r="G72" s="13">
        <v>1.0</v>
      </c>
      <c r="H72" s="7"/>
      <c r="I72" s="7">
        <f t="shared" si="4"/>
        <v>4.01</v>
      </c>
      <c r="J72" s="11" t="s">
        <v>152</v>
      </c>
    </row>
    <row r="73">
      <c r="A73" s="12" t="s">
        <v>10</v>
      </c>
      <c r="B73" s="4" t="s">
        <v>153</v>
      </c>
      <c r="C73" s="4">
        <f t="shared" si="1"/>
        <v>45722</v>
      </c>
      <c r="D73" s="6" t="str">
        <f t="shared" si="2"/>
        <v>2025-03</v>
      </c>
      <c r="E73" s="7">
        <f t="shared" si="3"/>
        <v>4325</v>
      </c>
      <c r="F73" s="8">
        <v>173.0</v>
      </c>
      <c r="G73" s="13">
        <v>0.0</v>
      </c>
      <c r="H73" s="7"/>
      <c r="I73" s="7">
        <f t="shared" si="4"/>
        <v>4</v>
      </c>
      <c r="J73" s="11" t="s">
        <v>154</v>
      </c>
    </row>
    <row r="74">
      <c r="A74" s="12" t="s">
        <v>10</v>
      </c>
      <c r="B74" s="4" t="s">
        <v>155</v>
      </c>
      <c r="C74" s="4">
        <f t="shared" si="1"/>
        <v>45722</v>
      </c>
      <c r="D74" s="6" t="str">
        <f t="shared" si="2"/>
        <v>2025-03</v>
      </c>
      <c r="E74" s="7">
        <f t="shared" si="3"/>
        <v>4000</v>
      </c>
      <c r="F74" s="8">
        <v>160.0</v>
      </c>
      <c r="G74" s="13">
        <v>1.0</v>
      </c>
      <c r="H74" s="7"/>
      <c r="I74" s="7">
        <f t="shared" si="4"/>
        <v>4.03</v>
      </c>
      <c r="J74" s="11" t="s">
        <v>156</v>
      </c>
    </row>
    <row r="75">
      <c r="A75" s="12" t="s">
        <v>10</v>
      </c>
      <c r="B75" s="4" t="s">
        <v>157</v>
      </c>
      <c r="C75" s="4">
        <f t="shared" si="1"/>
        <v>45722</v>
      </c>
      <c r="D75" s="6" t="str">
        <f t="shared" si="2"/>
        <v>2025-03</v>
      </c>
      <c r="E75" s="7">
        <f t="shared" si="3"/>
        <v>3450</v>
      </c>
      <c r="F75" s="8">
        <v>138.0</v>
      </c>
      <c r="G75" s="13">
        <v>1.0</v>
      </c>
      <c r="H75" s="7"/>
      <c r="I75" s="7">
        <f t="shared" si="4"/>
        <v>4.03</v>
      </c>
      <c r="J75" s="11" t="s">
        <v>158</v>
      </c>
    </row>
    <row r="76">
      <c r="A76" s="12" t="s">
        <v>10</v>
      </c>
      <c r="B76" s="4" t="s">
        <v>159</v>
      </c>
      <c r="C76" s="4">
        <f t="shared" si="1"/>
        <v>45722</v>
      </c>
      <c r="D76" s="6" t="str">
        <f t="shared" si="2"/>
        <v>2025-03</v>
      </c>
      <c r="E76" s="7">
        <f t="shared" si="3"/>
        <v>2825</v>
      </c>
      <c r="F76" s="8">
        <v>113.0</v>
      </c>
      <c r="G76" s="13">
        <v>0.0</v>
      </c>
      <c r="H76" s="7"/>
      <c r="I76" s="7">
        <f t="shared" si="4"/>
        <v>4</v>
      </c>
      <c r="J76" s="11" t="s">
        <v>160</v>
      </c>
    </row>
    <row r="77">
      <c r="A77" s="12" t="s">
        <v>10</v>
      </c>
      <c r="B77" s="4" t="s">
        <v>161</v>
      </c>
      <c r="C77" s="4">
        <f t="shared" si="1"/>
        <v>45600</v>
      </c>
      <c r="D77" s="6" t="str">
        <f t="shared" si="2"/>
        <v>2024-11</v>
      </c>
      <c r="E77" s="7">
        <f t="shared" si="3"/>
        <v>9700</v>
      </c>
      <c r="F77" s="8">
        <v>388.0</v>
      </c>
      <c r="G77" s="13">
        <v>7.0</v>
      </c>
      <c r="H77" s="7"/>
      <c r="I77" s="7">
        <f t="shared" si="4"/>
        <v>4.07</v>
      </c>
      <c r="J77" s="11" t="s">
        <v>162</v>
      </c>
    </row>
    <row r="78">
      <c r="A78" s="12" t="s">
        <v>10</v>
      </c>
      <c r="B78" s="4" t="s">
        <v>163</v>
      </c>
      <c r="C78" s="4">
        <f t="shared" si="1"/>
        <v>45729</v>
      </c>
      <c r="D78" s="6" t="str">
        <f t="shared" si="2"/>
        <v>2025-03</v>
      </c>
      <c r="E78" s="7">
        <f t="shared" si="3"/>
        <v>2375</v>
      </c>
      <c r="F78" s="8">
        <v>95.0</v>
      </c>
      <c r="G78" s="13">
        <v>0.0</v>
      </c>
      <c r="H78" s="7"/>
      <c r="I78" s="7">
        <f t="shared" si="4"/>
        <v>4</v>
      </c>
      <c r="J78" s="11" t="s">
        <v>164</v>
      </c>
    </row>
    <row r="79">
      <c r="A79" s="12" t="s">
        <v>10</v>
      </c>
      <c r="B79" s="4" t="s">
        <v>165</v>
      </c>
      <c r="C79" s="4">
        <f t="shared" si="1"/>
        <v>45341</v>
      </c>
      <c r="D79" s="6" t="str">
        <f t="shared" si="2"/>
        <v>2024-02</v>
      </c>
      <c r="E79" s="7">
        <f t="shared" si="3"/>
        <v>4075</v>
      </c>
      <c r="F79" s="8">
        <v>163.0</v>
      </c>
      <c r="G79" s="13">
        <v>3.0</v>
      </c>
      <c r="H79" s="7"/>
      <c r="I79" s="7">
        <f t="shared" si="4"/>
        <v>4.07</v>
      </c>
      <c r="J79" s="11" t="s">
        <v>166</v>
      </c>
    </row>
    <row r="80">
      <c r="A80" s="12" t="s">
        <v>10</v>
      </c>
      <c r="B80" s="4" t="s">
        <v>167</v>
      </c>
      <c r="C80" s="4">
        <f t="shared" si="1"/>
        <v>45455</v>
      </c>
      <c r="D80" s="6" t="str">
        <f t="shared" si="2"/>
        <v>2024-06</v>
      </c>
      <c r="E80" s="7">
        <f t="shared" si="3"/>
        <v>6525</v>
      </c>
      <c r="F80" s="8">
        <v>261.0</v>
      </c>
      <c r="G80" s="13">
        <v>2.0</v>
      </c>
      <c r="H80" s="7"/>
      <c r="I80" s="7">
        <f t="shared" si="4"/>
        <v>4.03</v>
      </c>
      <c r="J80" s="11" t="s">
        <v>168</v>
      </c>
    </row>
    <row r="81">
      <c r="A81" s="12" t="s">
        <v>10</v>
      </c>
      <c r="B81" s="4" t="s">
        <v>169</v>
      </c>
      <c r="C81" s="4">
        <f t="shared" si="1"/>
        <v>45727</v>
      </c>
      <c r="D81" s="6" t="str">
        <f t="shared" si="2"/>
        <v>2025-03</v>
      </c>
      <c r="E81" s="7">
        <f t="shared" si="3"/>
        <v>5000</v>
      </c>
      <c r="F81" s="8">
        <v>200.0</v>
      </c>
      <c r="G81" s="13">
        <v>1.0</v>
      </c>
      <c r="H81" s="7"/>
      <c r="I81" s="7">
        <f t="shared" si="4"/>
        <v>4.02</v>
      </c>
      <c r="J81" s="11" t="s">
        <v>170</v>
      </c>
    </row>
    <row r="82">
      <c r="A82" s="12" t="s">
        <v>10</v>
      </c>
      <c r="B82" s="4" t="s">
        <v>171</v>
      </c>
      <c r="C82" s="4">
        <f t="shared" si="1"/>
        <v>45744</v>
      </c>
      <c r="D82" s="6" t="str">
        <f t="shared" si="2"/>
        <v>2025-03</v>
      </c>
      <c r="E82" s="7">
        <f t="shared" si="3"/>
        <v>3350</v>
      </c>
      <c r="F82" s="8">
        <v>134.0</v>
      </c>
      <c r="G82" s="13">
        <v>0.0</v>
      </c>
      <c r="H82" s="7"/>
      <c r="I82" s="7">
        <f t="shared" si="4"/>
        <v>4</v>
      </c>
      <c r="J82" s="11" t="s">
        <v>172</v>
      </c>
    </row>
    <row r="83">
      <c r="A83" s="12" t="s">
        <v>10</v>
      </c>
      <c r="B83" s="4" t="s">
        <v>173</v>
      </c>
      <c r="C83" s="4">
        <f t="shared" si="1"/>
        <v>45706</v>
      </c>
      <c r="D83" s="6" t="str">
        <f t="shared" si="2"/>
        <v>2025-02</v>
      </c>
      <c r="E83" s="7">
        <f t="shared" si="3"/>
        <v>4650</v>
      </c>
      <c r="F83" s="8">
        <v>186.0</v>
      </c>
      <c r="G83" s="13">
        <v>1.0</v>
      </c>
      <c r="H83" s="7"/>
      <c r="I83" s="7">
        <f t="shared" si="4"/>
        <v>4.02</v>
      </c>
      <c r="J83" s="11" t="s">
        <v>174</v>
      </c>
    </row>
    <row r="84">
      <c r="A84" s="12" t="s">
        <v>10</v>
      </c>
      <c r="B84" s="4" t="s">
        <v>175</v>
      </c>
      <c r="C84" s="4">
        <f t="shared" si="1"/>
        <v>45525</v>
      </c>
      <c r="D84" s="6" t="str">
        <f t="shared" si="2"/>
        <v>2024-08</v>
      </c>
      <c r="E84" s="7">
        <f t="shared" si="3"/>
        <v>4475</v>
      </c>
      <c r="F84" s="8">
        <v>179.0</v>
      </c>
      <c r="G84" s="13">
        <v>2.0</v>
      </c>
      <c r="H84" s="7"/>
      <c r="I84" s="7">
        <f t="shared" si="4"/>
        <v>4.04</v>
      </c>
      <c r="J84" s="11" t="s">
        <v>176</v>
      </c>
    </row>
    <row r="85">
      <c r="A85" s="12" t="s">
        <v>10</v>
      </c>
      <c r="B85" s="4" t="s">
        <v>177</v>
      </c>
      <c r="C85" s="4">
        <f t="shared" si="1"/>
        <v>45331</v>
      </c>
      <c r="D85" s="6" t="str">
        <f t="shared" si="2"/>
        <v>2024-02</v>
      </c>
      <c r="E85" s="7">
        <f t="shared" si="3"/>
        <v>7900</v>
      </c>
      <c r="F85" s="8">
        <v>316.0</v>
      </c>
      <c r="G85" s="13">
        <v>5.0</v>
      </c>
      <c r="H85" s="7"/>
      <c r="I85" s="7">
        <f t="shared" si="4"/>
        <v>4.06</v>
      </c>
      <c r="J85" s="11" t="s">
        <v>178</v>
      </c>
    </row>
    <row r="86">
      <c r="A86" s="12" t="s">
        <v>10</v>
      </c>
      <c r="B86" s="4" t="s">
        <v>179</v>
      </c>
      <c r="C86" s="4">
        <f t="shared" si="1"/>
        <v>45433</v>
      </c>
      <c r="D86" s="6" t="str">
        <f t="shared" si="2"/>
        <v>2024-05</v>
      </c>
      <c r="E86" s="7">
        <f t="shared" si="3"/>
        <v>6475</v>
      </c>
      <c r="F86" s="8">
        <v>259.0</v>
      </c>
      <c r="G86" s="13">
        <v>2.0</v>
      </c>
      <c r="H86" s="7"/>
      <c r="I86" s="7">
        <f t="shared" si="4"/>
        <v>4.03</v>
      </c>
      <c r="J86" s="11" t="s">
        <v>180</v>
      </c>
    </row>
    <row r="87">
      <c r="A87" s="12" t="s">
        <v>10</v>
      </c>
      <c r="B87" s="4" t="s">
        <v>181</v>
      </c>
      <c r="C87" s="4">
        <f t="shared" si="1"/>
        <v>45590</v>
      </c>
      <c r="D87" s="6" t="str">
        <f t="shared" si="2"/>
        <v>2024-10</v>
      </c>
      <c r="E87" s="7">
        <f t="shared" si="3"/>
        <v>5675</v>
      </c>
      <c r="F87" s="8">
        <v>227.0</v>
      </c>
      <c r="G87" s="13">
        <v>1.0</v>
      </c>
      <c r="H87" s="7"/>
      <c r="I87" s="7">
        <f t="shared" si="4"/>
        <v>4.02</v>
      </c>
      <c r="J87" s="11" t="s">
        <v>182</v>
      </c>
    </row>
    <row r="88">
      <c r="A88" s="12" t="s">
        <v>10</v>
      </c>
      <c r="B88" s="4" t="s">
        <v>183</v>
      </c>
      <c r="C88" s="4">
        <f t="shared" si="1"/>
        <v>45596</v>
      </c>
      <c r="D88" s="6" t="str">
        <f t="shared" si="2"/>
        <v>2024-10</v>
      </c>
      <c r="E88" s="7">
        <f t="shared" si="3"/>
        <v>7500</v>
      </c>
      <c r="F88" s="8">
        <v>300.0</v>
      </c>
      <c r="G88" s="13">
        <v>3.0</v>
      </c>
      <c r="H88" s="7"/>
      <c r="I88" s="7">
        <f t="shared" si="4"/>
        <v>4.04</v>
      </c>
      <c r="J88" s="11" t="s">
        <v>184</v>
      </c>
    </row>
    <row r="89">
      <c r="A89" s="12" t="s">
        <v>10</v>
      </c>
      <c r="B89" s="4" t="s">
        <v>185</v>
      </c>
      <c r="C89" s="4">
        <f t="shared" si="1"/>
        <v>45470</v>
      </c>
      <c r="D89" s="6" t="str">
        <f t="shared" si="2"/>
        <v>2024-06</v>
      </c>
      <c r="E89" s="7">
        <f t="shared" si="3"/>
        <v>6450</v>
      </c>
      <c r="F89" s="8">
        <v>258.0</v>
      </c>
      <c r="G89" s="13">
        <v>7.0</v>
      </c>
      <c r="H89" s="7"/>
      <c r="I89" s="7">
        <f t="shared" si="4"/>
        <v>4.11</v>
      </c>
      <c r="J89" s="11" t="s">
        <v>186</v>
      </c>
    </row>
    <row r="90">
      <c r="A90" s="12" t="s">
        <v>10</v>
      </c>
      <c r="B90" s="4" t="s">
        <v>187</v>
      </c>
      <c r="C90" s="4">
        <f t="shared" si="1"/>
        <v>45736</v>
      </c>
      <c r="D90" s="6" t="str">
        <f t="shared" si="2"/>
        <v>2025-03</v>
      </c>
      <c r="E90" s="7">
        <f t="shared" si="3"/>
        <v>3275</v>
      </c>
      <c r="F90" s="8">
        <v>131.0</v>
      </c>
      <c r="G90" s="13">
        <v>1.0</v>
      </c>
      <c r="H90" s="7"/>
      <c r="I90" s="7">
        <f t="shared" si="4"/>
        <v>4.03</v>
      </c>
      <c r="J90" s="11" t="s">
        <v>188</v>
      </c>
    </row>
    <row r="91">
      <c r="A91" s="12" t="s">
        <v>10</v>
      </c>
      <c r="B91" s="4" t="s">
        <v>189</v>
      </c>
      <c r="C91" s="4">
        <f t="shared" si="1"/>
        <v>45244</v>
      </c>
      <c r="D91" s="6" t="str">
        <f t="shared" si="2"/>
        <v>2023-11</v>
      </c>
      <c r="E91" s="7">
        <f t="shared" si="3"/>
        <v>5125</v>
      </c>
      <c r="F91" s="8">
        <v>205.0</v>
      </c>
      <c r="G91" s="13">
        <v>0.0</v>
      </c>
      <c r="H91" s="7"/>
      <c r="I91" s="7">
        <f t="shared" si="4"/>
        <v>4</v>
      </c>
      <c r="J91" s="11" t="s">
        <v>190</v>
      </c>
    </row>
    <row r="92">
      <c r="A92" s="12" t="s">
        <v>10</v>
      </c>
      <c r="B92" s="4" t="s">
        <v>191</v>
      </c>
      <c r="C92" s="4">
        <f t="shared" si="1"/>
        <v>45604</v>
      </c>
      <c r="D92" s="6" t="str">
        <f t="shared" si="2"/>
        <v>2024-11</v>
      </c>
      <c r="E92" s="7">
        <f t="shared" si="3"/>
        <v>3625</v>
      </c>
      <c r="F92" s="8">
        <v>145.0</v>
      </c>
      <c r="G92" s="13">
        <v>1.0</v>
      </c>
      <c r="H92" s="7"/>
      <c r="I92" s="7">
        <f t="shared" si="4"/>
        <v>4.03</v>
      </c>
      <c r="J92" s="11" t="s">
        <v>192</v>
      </c>
    </row>
    <row r="93">
      <c r="A93" s="12" t="s">
        <v>10</v>
      </c>
      <c r="B93" s="4" t="s">
        <v>193</v>
      </c>
      <c r="C93" s="4">
        <f t="shared" si="1"/>
        <v>45322</v>
      </c>
      <c r="D93" s="6" t="str">
        <f t="shared" si="2"/>
        <v>2024-01</v>
      </c>
      <c r="E93" s="7">
        <f t="shared" si="3"/>
        <v>5275</v>
      </c>
      <c r="F93" s="8">
        <v>211.0</v>
      </c>
      <c r="G93" s="13">
        <v>5.0</v>
      </c>
      <c r="H93" s="7"/>
      <c r="I93" s="7">
        <f t="shared" si="4"/>
        <v>4.09</v>
      </c>
      <c r="J93" s="11" t="s">
        <v>194</v>
      </c>
    </row>
    <row r="94">
      <c r="A94" s="12" t="s">
        <v>10</v>
      </c>
      <c r="B94" s="4" t="s">
        <v>195</v>
      </c>
      <c r="C94" s="4">
        <f t="shared" si="1"/>
        <v>45285</v>
      </c>
      <c r="D94" s="6" t="str">
        <f t="shared" si="2"/>
        <v>2023-12</v>
      </c>
      <c r="E94" s="7">
        <f t="shared" si="3"/>
        <v>6350</v>
      </c>
      <c r="F94" s="8">
        <v>254.0</v>
      </c>
      <c r="G94" s="13">
        <v>2.0</v>
      </c>
      <c r="H94" s="7"/>
      <c r="I94" s="7">
        <f t="shared" si="4"/>
        <v>4.03</v>
      </c>
      <c r="J94" s="11" t="s">
        <v>196</v>
      </c>
    </row>
    <row r="95">
      <c r="A95" s="12" t="s">
        <v>10</v>
      </c>
      <c r="B95" s="4" t="s">
        <v>197</v>
      </c>
      <c r="C95" s="4">
        <f t="shared" si="1"/>
        <v>45261</v>
      </c>
      <c r="D95" s="6" t="str">
        <f t="shared" si="2"/>
        <v>2023-12</v>
      </c>
      <c r="E95" s="7">
        <f t="shared" si="3"/>
        <v>7400</v>
      </c>
      <c r="F95" s="8">
        <v>296.0</v>
      </c>
      <c r="G95" s="13">
        <v>1.0</v>
      </c>
      <c r="H95" s="7"/>
      <c r="I95" s="7">
        <f t="shared" si="4"/>
        <v>4.01</v>
      </c>
      <c r="J95" s="11" t="s">
        <v>198</v>
      </c>
    </row>
    <row r="96">
      <c r="A96" s="12" t="s">
        <v>10</v>
      </c>
      <c r="B96" s="4" t="s">
        <v>199</v>
      </c>
      <c r="C96" s="4">
        <f t="shared" si="1"/>
        <v>45261</v>
      </c>
      <c r="D96" s="6" t="str">
        <f t="shared" si="2"/>
        <v>2023-12</v>
      </c>
      <c r="E96" s="7">
        <f t="shared" si="3"/>
        <v>3800</v>
      </c>
      <c r="F96" s="8">
        <v>152.0</v>
      </c>
      <c r="G96" s="13">
        <v>2.0</v>
      </c>
      <c r="H96" s="7"/>
      <c r="I96" s="7">
        <f t="shared" si="4"/>
        <v>4.05</v>
      </c>
      <c r="J96" s="11" t="s">
        <v>200</v>
      </c>
    </row>
    <row r="97">
      <c r="A97" s="12" t="s">
        <v>10</v>
      </c>
      <c r="B97" s="4" t="s">
        <v>201</v>
      </c>
      <c r="C97" s="4">
        <f t="shared" si="1"/>
        <v>45303</v>
      </c>
      <c r="D97" s="6" t="str">
        <f t="shared" si="2"/>
        <v>2024-01</v>
      </c>
      <c r="E97" s="7">
        <f t="shared" si="3"/>
        <v>6400</v>
      </c>
      <c r="F97" s="8">
        <v>256.0</v>
      </c>
      <c r="G97" s="13">
        <v>2.0</v>
      </c>
      <c r="H97" s="7"/>
      <c r="I97" s="7">
        <f t="shared" si="4"/>
        <v>4.03</v>
      </c>
      <c r="J97" s="11" t="s">
        <v>202</v>
      </c>
    </row>
    <row r="98">
      <c r="A98" s="12" t="s">
        <v>10</v>
      </c>
      <c r="B98" s="4" t="s">
        <v>203</v>
      </c>
      <c r="C98" s="4">
        <f t="shared" si="1"/>
        <v>45283</v>
      </c>
      <c r="D98" s="6" t="str">
        <f t="shared" si="2"/>
        <v>2023-12</v>
      </c>
      <c r="E98" s="7">
        <f t="shared" si="3"/>
        <v>5250</v>
      </c>
      <c r="F98" s="8">
        <v>210.0</v>
      </c>
      <c r="G98" s="13">
        <v>3.0</v>
      </c>
      <c r="H98" s="7"/>
      <c r="I98" s="7">
        <f t="shared" si="4"/>
        <v>4.06</v>
      </c>
      <c r="J98" s="11" t="s">
        <v>204</v>
      </c>
    </row>
    <row r="99">
      <c r="A99" s="12" t="s">
        <v>10</v>
      </c>
      <c r="B99" s="4" t="s">
        <v>205</v>
      </c>
      <c r="C99" s="4">
        <f t="shared" si="1"/>
        <v>45433</v>
      </c>
      <c r="D99" s="6" t="str">
        <f t="shared" si="2"/>
        <v>2024-05</v>
      </c>
      <c r="E99" s="7">
        <f t="shared" si="3"/>
        <v>4425</v>
      </c>
      <c r="F99" s="8">
        <v>177.0</v>
      </c>
      <c r="G99" s="13">
        <v>0.0</v>
      </c>
      <c r="H99" s="7"/>
      <c r="I99" s="7">
        <f t="shared" si="4"/>
        <v>4</v>
      </c>
      <c r="J99" s="11" t="s">
        <v>206</v>
      </c>
    </row>
    <row r="100">
      <c r="A100" s="12" t="s">
        <v>10</v>
      </c>
      <c r="B100" s="4" t="s">
        <v>207</v>
      </c>
      <c r="C100" s="4">
        <f t="shared" si="1"/>
        <v>45729</v>
      </c>
      <c r="D100" s="6" t="str">
        <f t="shared" si="2"/>
        <v>2025-03</v>
      </c>
      <c r="E100" s="7">
        <f t="shared" si="3"/>
        <v>1900</v>
      </c>
      <c r="F100" s="8">
        <v>76.0</v>
      </c>
      <c r="G100" s="13">
        <v>0.0</v>
      </c>
      <c r="H100" s="7"/>
      <c r="I100" s="7">
        <f t="shared" si="4"/>
        <v>4</v>
      </c>
      <c r="J100" s="11" t="s">
        <v>208</v>
      </c>
    </row>
    <row r="101">
      <c r="A101" s="12" t="s">
        <v>10</v>
      </c>
      <c r="B101" s="4" t="s">
        <v>209</v>
      </c>
      <c r="C101" s="4">
        <f t="shared" si="1"/>
        <v>45598</v>
      </c>
      <c r="D101" s="6" t="str">
        <f t="shared" si="2"/>
        <v>2024-11</v>
      </c>
      <c r="E101" s="7">
        <f t="shared" si="3"/>
        <v>6250</v>
      </c>
      <c r="F101" s="8">
        <v>250.0</v>
      </c>
      <c r="G101" s="13">
        <v>1.0</v>
      </c>
      <c r="H101" s="7"/>
      <c r="I101" s="7">
        <f t="shared" si="4"/>
        <v>4.02</v>
      </c>
      <c r="J101" s="11" t="s">
        <v>210</v>
      </c>
    </row>
    <row r="102">
      <c r="A102" s="12" t="s">
        <v>10</v>
      </c>
      <c r="B102" s="4" t="s">
        <v>211</v>
      </c>
      <c r="C102" s="4">
        <f t="shared" si="1"/>
        <v>45455</v>
      </c>
      <c r="D102" s="6" t="str">
        <f t="shared" si="2"/>
        <v>2024-06</v>
      </c>
      <c r="E102" s="7">
        <f t="shared" si="3"/>
        <v>6400</v>
      </c>
      <c r="F102" s="8">
        <v>256.0</v>
      </c>
      <c r="G102" s="13">
        <v>2.0</v>
      </c>
      <c r="H102" s="7"/>
      <c r="I102" s="7">
        <f t="shared" si="4"/>
        <v>4.03</v>
      </c>
      <c r="J102" s="11" t="s">
        <v>212</v>
      </c>
    </row>
    <row r="103">
      <c r="A103" s="12" t="s">
        <v>10</v>
      </c>
      <c r="B103" s="4" t="s">
        <v>213</v>
      </c>
      <c r="C103" s="4">
        <f t="shared" si="1"/>
        <v>45455</v>
      </c>
      <c r="D103" s="6" t="str">
        <f t="shared" si="2"/>
        <v>2024-06</v>
      </c>
      <c r="E103" s="7">
        <f t="shared" si="3"/>
        <v>12450</v>
      </c>
      <c r="F103" s="8">
        <v>498.0</v>
      </c>
      <c r="G103" s="13">
        <v>3.0</v>
      </c>
      <c r="H103" s="7"/>
      <c r="I103" s="7">
        <f t="shared" si="4"/>
        <v>4.02</v>
      </c>
      <c r="J103" s="11" t="s">
        <v>214</v>
      </c>
    </row>
    <row r="104">
      <c r="A104" s="12" t="s">
        <v>10</v>
      </c>
      <c r="B104" s="4" t="s">
        <v>215</v>
      </c>
      <c r="C104" s="4">
        <f t="shared" si="1"/>
        <v>45282</v>
      </c>
      <c r="D104" s="6" t="str">
        <f t="shared" si="2"/>
        <v>2023-12</v>
      </c>
      <c r="E104" s="7">
        <f t="shared" si="3"/>
        <v>9325</v>
      </c>
      <c r="F104" s="8">
        <v>373.0</v>
      </c>
      <c r="G104" s="13">
        <v>6.0</v>
      </c>
      <c r="H104" s="7"/>
      <c r="I104" s="7">
        <f t="shared" si="4"/>
        <v>4.06</v>
      </c>
      <c r="J104" s="11" t="s">
        <v>216</v>
      </c>
    </row>
    <row r="105">
      <c r="A105" s="12" t="s">
        <v>10</v>
      </c>
      <c r="B105" s="4" t="s">
        <v>217</v>
      </c>
      <c r="C105" s="4">
        <f t="shared" si="1"/>
        <v>45274</v>
      </c>
      <c r="D105" s="6" t="str">
        <f t="shared" si="2"/>
        <v>2023-12</v>
      </c>
      <c r="E105" s="7">
        <f t="shared" si="3"/>
        <v>3450</v>
      </c>
      <c r="F105" s="8">
        <v>138.0</v>
      </c>
      <c r="G105" s="13">
        <v>1.0</v>
      </c>
      <c r="H105" s="7"/>
      <c r="I105" s="7">
        <f t="shared" si="4"/>
        <v>4.03</v>
      </c>
      <c r="J105" s="11" t="s">
        <v>218</v>
      </c>
    </row>
    <row r="106">
      <c r="A106" s="12" t="s">
        <v>10</v>
      </c>
      <c r="B106" s="4" t="s">
        <v>219</v>
      </c>
      <c r="C106" s="4">
        <f t="shared" si="1"/>
        <v>45258</v>
      </c>
      <c r="D106" s="6" t="str">
        <f t="shared" si="2"/>
        <v>2023-11</v>
      </c>
      <c r="E106" s="7">
        <f t="shared" si="3"/>
        <v>7450</v>
      </c>
      <c r="F106" s="8">
        <v>298.0</v>
      </c>
      <c r="G106" s="13">
        <v>1.0</v>
      </c>
      <c r="H106" s="7"/>
      <c r="I106" s="7">
        <f t="shared" si="4"/>
        <v>4.01</v>
      </c>
      <c r="J106" s="11" t="s">
        <v>220</v>
      </c>
    </row>
    <row r="107">
      <c r="A107" s="12" t="s">
        <v>10</v>
      </c>
      <c r="B107" s="4" t="s">
        <v>221</v>
      </c>
      <c r="C107" s="4">
        <f t="shared" si="1"/>
        <v>45240</v>
      </c>
      <c r="D107" s="6" t="str">
        <f t="shared" si="2"/>
        <v>2023-11</v>
      </c>
      <c r="E107" s="7">
        <f t="shared" si="3"/>
        <v>7250</v>
      </c>
      <c r="F107" s="8">
        <v>290.0</v>
      </c>
      <c r="G107" s="13">
        <v>0.0</v>
      </c>
      <c r="H107" s="7"/>
      <c r="I107" s="7">
        <f t="shared" si="4"/>
        <v>4</v>
      </c>
      <c r="J107" s="11" t="s">
        <v>222</v>
      </c>
    </row>
    <row r="108">
      <c r="A108" s="12" t="s">
        <v>10</v>
      </c>
      <c r="B108" s="4" t="s">
        <v>223</v>
      </c>
      <c r="C108" s="4">
        <f t="shared" si="1"/>
        <v>45283</v>
      </c>
      <c r="D108" s="6" t="str">
        <f t="shared" si="2"/>
        <v>2023-12</v>
      </c>
      <c r="E108" s="7">
        <f t="shared" si="3"/>
        <v>5850</v>
      </c>
      <c r="F108" s="8">
        <v>234.0</v>
      </c>
      <c r="G108" s="13">
        <v>6.0</v>
      </c>
      <c r="H108" s="7"/>
      <c r="I108" s="7">
        <f t="shared" si="4"/>
        <v>4.1</v>
      </c>
      <c r="J108" s="11" t="s">
        <v>224</v>
      </c>
    </row>
    <row r="109">
      <c r="A109" s="12" t="s">
        <v>10</v>
      </c>
      <c r="B109" s="4" t="s">
        <v>225</v>
      </c>
      <c r="C109" s="4">
        <f t="shared" si="1"/>
        <v>45694</v>
      </c>
      <c r="D109" s="6" t="str">
        <f t="shared" si="2"/>
        <v>2025-02</v>
      </c>
      <c r="E109" s="7">
        <f t="shared" si="3"/>
        <v>8400</v>
      </c>
      <c r="F109" s="8">
        <v>336.0</v>
      </c>
      <c r="G109" s="13">
        <v>6.0</v>
      </c>
      <c r="H109" s="7"/>
      <c r="I109" s="7">
        <f t="shared" si="4"/>
        <v>4.07</v>
      </c>
      <c r="J109" s="11" t="s">
        <v>226</v>
      </c>
    </row>
    <row r="110">
      <c r="A110" s="12" t="s">
        <v>10</v>
      </c>
      <c r="B110" s="4" t="s">
        <v>227</v>
      </c>
      <c r="C110" s="4">
        <f t="shared" si="1"/>
        <v>45233</v>
      </c>
      <c r="D110" s="6" t="str">
        <f t="shared" si="2"/>
        <v>2023-11</v>
      </c>
      <c r="E110" s="7">
        <f t="shared" si="3"/>
        <v>5275</v>
      </c>
      <c r="F110" s="8">
        <v>211.0</v>
      </c>
      <c r="G110" s="13">
        <v>2.0</v>
      </c>
      <c r="H110" s="7"/>
      <c r="I110" s="7">
        <f t="shared" si="4"/>
        <v>4.04</v>
      </c>
      <c r="J110" s="11" t="s">
        <v>228</v>
      </c>
    </row>
    <row r="111">
      <c r="A111" s="12" t="s">
        <v>10</v>
      </c>
      <c r="B111" s="4" t="s">
        <v>229</v>
      </c>
      <c r="C111" s="4">
        <f t="shared" si="1"/>
        <v>45185</v>
      </c>
      <c r="D111" s="6" t="str">
        <f t="shared" si="2"/>
        <v>2023-09</v>
      </c>
      <c r="E111" s="7">
        <f t="shared" si="3"/>
        <v>8700</v>
      </c>
      <c r="F111" s="8">
        <v>348.0</v>
      </c>
      <c r="G111" s="13">
        <v>2.0</v>
      </c>
      <c r="H111" s="7"/>
      <c r="I111" s="7">
        <f t="shared" si="4"/>
        <v>4.02</v>
      </c>
      <c r="J111" s="11" t="s">
        <v>230</v>
      </c>
    </row>
    <row r="112">
      <c r="A112" s="12" t="s">
        <v>10</v>
      </c>
      <c r="B112" s="4" t="s">
        <v>231</v>
      </c>
      <c r="C112" s="4">
        <f t="shared" si="1"/>
        <v>45023</v>
      </c>
      <c r="D112" s="6" t="str">
        <f t="shared" si="2"/>
        <v>2023-04</v>
      </c>
      <c r="E112" s="7">
        <f t="shared" si="3"/>
        <v>6550</v>
      </c>
      <c r="F112" s="8">
        <v>262.0</v>
      </c>
      <c r="G112" s="13">
        <v>4.0</v>
      </c>
      <c r="H112" s="7"/>
      <c r="I112" s="7">
        <f t="shared" si="4"/>
        <v>4.06</v>
      </c>
      <c r="J112" s="11" t="s">
        <v>232</v>
      </c>
    </row>
    <row r="113">
      <c r="A113" s="12" t="s">
        <v>10</v>
      </c>
      <c r="B113" s="4" t="s">
        <v>233</v>
      </c>
      <c r="C113" s="4">
        <f t="shared" si="1"/>
        <v>45236</v>
      </c>
      <c r="D113" s="6" t="str">
        <f t="shared" si="2"/>
        <v>2023-11</v>
      </c>
      <c r="E113" s="7">
        <f t="shared" si="3"/>
        <v>6000</v>
      </c>
      <c r="F113" s="8">
        <v>240.0</v>
      </c>
      <c r="G113" s="13">
        <v>0.0</v>
      </c>
      <c r="H113" s="7"/>
      <c r="I113" s="7">
        <f t="shared" si="4"/>
        <v>4</v>
      </c>
      <c r="J113" s="11" t="s">
        <v>234</v>
      </c>
    </row>
    <row r="114">
      <c r="A114" s="12" t="s">
        <v>10</v>
      </c>
      <c r="B114" s="4" t="s">
        <v>235</v>
      </c>
      <c r="C114" s="4">
        <f t="shared" si="1"/>
        <v>44918</v>
      </c>
      <c r="D114" s="6" t="str">
        <f t="shared" si="2"/>
        <v>2022-12</v>
      </c>
      <c r="E114" s="7">
        <f t="shared" si="3"/>
        <v>10025</v>
      </c>
      <c r="F114" s="8">
        <v>401.0</v>
      </c>
      <c r="G114" s="13">
        <v>3.0</v>
      </c>
      <c r="H114" s="7"/>
      <c r="I114" s="7">
        <f t="shared" si="4"/>
        <v>4.03</v>
      </c>
      <c r="J114" s="11" t="s">
        <v>236</v>
      </c>
    </row>
    <row r="115">
      <c r="A115" s="12" t="s">
        <v>10</v>
      </c>
      <c r="B115" s="4" t="s">
        <v>237</v>
      </c>
      <c r="C115" s="4">
        <f t="shared" si="1"/>
        <v>45044</v>
      </c>
      <c r="D115" s="6" t="str">
        <f t="shared" si="2"/>
        <v>2023-04</v>
      </c>
      <c r="E115" s="7">
        <f t="shared" si="3"/>
        <v>11850</v>
      </c>
      <c r="F115" s="8">
        <v>474.0</v>
      </c>
      <c r="G115" s="13">
        <v>8.0</v>
      </c>
      <c r="H115" s="7"/>
      <c r="I115" s="7">
        <f t="shared" si="4"/>
        <v>4.07</v>
      </c>
      <c r="J115" s="11" t="s">
        <v>238</v>
      </c>
    </row>
    <row r="116">
      <c r="A116" s="12" t="s">
        <v>10</v>
      </c>
      <c r="B116" s="4" t="s">
        <v>239</v>
      </c>
      <c r="C116" s="4">
        <f t="shared" si="1"/>
        <v>45188</v>
      </c>
      <c r="D116" s="6" t="str">
        <f t="shared" si="2"/>
        <v>2023-09</v>
      </c>
      <c r="E116" s="7">
        <f t="shared" si="3"/>
        <v>9700</v>
      </c>
      <c r="F116" s="8">
        <v>388.0</v>
      </c>
      <c r="G116" s="13">
        <v>6.0</v>
      </c>
      <c r="H116" s="7"/>
      <c r="I116" s="7">
        <f t="shared" si="4"/>
        <v>4.06</v>
      </c>
      <c r="J116" s="11" t="s">
        <v>240</v>
      </c>
    </row>
    <row r="117">
      <c r="A117" s="12" t="s">
        <v>10</v>
      </c>
      <c r="B117" s="4" t="s">
        <v>241</v>
      </c>
      <c r="C117" s="4">
        <f t="shared" si="1"/>
        <v>45072</v>
      </c>
      <c r="D117" s="6" t="str">
        <f t="shared" si="2"/>
        <v>2023-05</v>
      </c>
      <c r="E117" s="7">
        <f t="shared" si="3"/>
        <v>12025</v>
      </c>
      <c r="F117" s="8">
        <v>481.0</v>
      </c>
      <c r="G117" s="13">
        <v>9.0</v>
      </c>
      <c r="H117" s="7"/>
      <c r="I117" s="7">
        <f t="shared" si="4"/>
        <v>4.07</v>
      </c>
      <c r="J117" s="11" t="s">
        <v>242</v>
      </c>
    </row>
    <row r="118">
      <c r="A118" s="12" t="s">
        <v>10</v>
      </c>
      <c r="B118" s="4" t="s">
        <v>243</v>
      </c>
      <c r="C118" s="4">
        <f t="shared" si="1"/>
        <v>45226</v>
      </c>
      <c r="D118" s="6" t="str">
        <f t="shared" si="2"/>
        <v>2023-10</v>
      </c>
      <c r="E118" s="7">
        <f t="shared" si="3"/>
        <v>5525</v>
      </c>
      <c r="F118" s="8">
        <v>221.0</v>
      </c>
      <c r="G118" s="13">
        <v>3.0</v>
      </c>
      <c r="H118" s="7"/>
      <c r="I118" s="7">
        <f t="shared" si="4"/>
        <v>4.05</v>
      </c>
      <c r="J118" s="11" t="s">
        <v>244</v>
      </c>
    </row>
    <row r="119">
      <c r="A119" s="12" t="s">
        <v>10</v>
      </c>
      <c r="B119" s="4" t="s">
        <v>245</v>
      </c>
      <c r="C119" s="4">
        <f t="shared" si="1"/>
        <v>45237</v>
      </c>
      <c r="D119" s="6" t="str">
        <f t="shared" si="2"/>
        <v>2023-11</v>
      </c>
      <c r="E119" s="7">
        <f t="shared" si="3"/>
        <v>6775</v>
      </c>
      <c r="F119" s="8">
        <v>271.0</v>
      </c>
      <c r="G119" s="13">
        <v>2.0</v>
      </c>
      <c r="H119" s="7"/>
      <c r="I119" s="7">
        <f t="shared" si="4"/>
        <v>4.03</v>
      </c>
      <c r="J119" s="11" t="s">
        <v>246</v>
      </c>
    </row>
    <row r="120">
      <c r="A120" s="12" t="s">
        <v>10</v>
      </c>
      <c r="B120" s="4" t="s">
        <v>247</v>
      </c>
      <c r="C120" s="4">
        <f t="shared" si="1"/>
        <v>45231</v>
      </c>
      <c r="D120" s="6" t="str">
        <f t="shared" si="2"/>
        <v>2023-11</v>
      </c>
      <c r="E120" s="7">
        <f t="shared" si="3"/>
        <v>5775</v>
      </c>
      <c r="F120" s="8">
        <v>231.0</v>
      </c>
      <c r="G120" s="13">
        <v>2.0</v>
      </c>
      <c r="H120" s="7"/>
      <c r="I120" s="7">
        <f t="shared" si="4"/>
        <v>4.03</v>
      </c>
      <c r="J120" s="11" t="s">
        <v>248</v>
      </c>
    </row>
    <row r="121">
      <c r="A121" s="12" t="s">
        <v>10</v>
      </c>
      <c r="B121" s="4" t="s">
        <v>249</v>
      </c>
      <c r="C121" s="4">
        <f t="shared" si="1"/>
        <v>45199</v>
      </c>
      <c r="D121" s="6" t="str">
        <f t="shared" si="2"/>
        <v>2023-09</v>
      </c>
      <c r="E121" s="7">
        <f t="shared" si="3"/>
        <v>8150</v>
      </c>
      <c r="F121" s="8">
        <v>326.0</v>
      </c>
      <c r="G121" s="13">
        <v>0.0</v>
      </c>
      <c r="H121" s="7"/>
      <c r="I121" s="7">
        <f t="shared" si="4"/>
        <v>4</v>
      </c>
      <c r="J121" s="11" t="s">
        <v>250</v>
      </c>
    </row>
    <row r="122">
      <c r="A122" s="12" t="s">
        <v>10</v>
      </c>
      <c r="B122" s="4" t="s">
        <v>251</v>
      </c>
      <c r="C122" s="4">
        <f t="shared" si="1"/>
        <v>44555</v>
      </c>
      <c r="D122" s="6" t="str">
        <f t="shared" si="2"/>
        <v>2021-12</v>
      </c>
      <c r="E122" s="7">
        <f t="shared" si="3"/>
        <v>5875</v>
      </c>
      <c r="F122" s="8">
        <v>235.0</v>
      </c>
      <c r="G122" s="13">
        <v>1.0</v>
      </c>
      <c r="H122" s="7"/>
      <c r="I122" s="7">
        <f t="shared" si="4"/>
        <v>4.02</v>
      </c>
      <c r="J122" s="11" t="s">
        <v>252</v>
      </c>
    </row>
    <row r="123">
      <c r="A123" s="12" t="s">
        <v>10</v>
      </c>
      <c r="B123" s="4" t="s">
        <v>253</v>
      </c>
      <c r="C123" s="4">
        <f t="shared" si="1"/>
        <v>44462</v>
      </c>
      <c r="D123" s="6" t="str">
        <f t="shared" si="2"/>
        <v>2021-09</v>
      </c>
      <c r="E123" s="7">
        <f t="shared" si="3"/>
        <v>6500</v>
      </c>
      <c r="F123" s="8">
        <v>260.0</v>
      </c>
      <c r="G123" s="13">
        <v>23.0</v>
      </c>
      <c r="H123" s="7"/>
      <c r="I123" s="7">
        <f t="shared" si="4"/>
        <v>4.35</v>
      </c>
      <c r="J123" s="11" t="s">
        <v>254</v>
      </c>
    </row>
    <row r="124">
      <c r="A124" s="12" t="s">
        <v>10</v>
      </c>
      <c r="B124" s="4" t="s">
        <v>255</v>
      </c>
      <c r="C124" s="4">
        <f t="shared" si="1"/>
        <v>44705</v>
      </c>
      <c r="D124" s="6" t="str">
        <f t="shared" si="2"/>
        <v>2022-05</v>
      </c>
      <c r="E124" s="7">
        <f t="shared" si="3"/>
        <v>12325</v>
      </c>
      <c r="F124" s="8">
        <v>493.0</v>
      </c>
      <c r="G124" s="13">
        <v>14.0</v>
      </c>
      <c r="H124" s="7"/>
      <c r="I124" s="7">
        <f t="shared" si="4"/>
        <v>4.11</v>
      </c>
      <c r="J124" s="11" t="s">
        <v>256</v>
      </c>
    </row>
    <row r="125">
      <c r="A125" s="12" t="s">
        <v>10</v>
      </c>
      <c r="B125" s="4" t="s">
        <v>257</v>
      </c>
      <c r="C125" s="4">
        <f t="shared" si="1"/>
        <v>44469</v>
      </c>
      <c r="D125" s="6" t="str">
        <f t="shared" si="2"/>
        <v>2021-09</v>
      </c>
      <c r="E125" s="7">
        <f t="shared" si="3"/>
        <v>7550</v>
      </c>
      <c r="F125" s="8">
        <v>302.0</v>
      </c>
      <c r="G125" s="13">
        <v>3.0</v>
      </c>
      <c r="H125" s="7"/>
      <c r="I125" s="7">
        <f t="shared" si="4"/>
        <v>4.04</v>
      </c>
      <c r="J125" s="11" t="s">
        <v>258</v>
      </c>
    </row>
    <row r="126">
      <c r="A126" s="12" t="s">
        <v>10</v>
      </c>
      <c r="B126" s="4" t="s">
        <v>259</v>
      </c>
      <c r="C126" s="4">
        <f t="shared" si="1"/>
        <v>44610</v>
      </c>
      <c r="D126" s="6" t="str">
        <f t="shared" si="2"/>
        <v>2022-02</v>
      </c>
      <c r="E126" s="7">
        <f t="shared" si="3"/>
        <v>10300</v>
      </c>
      <c r="F126" s="8">
        <v>412.0</v>
      </c>
      <c r="G126" s="13">
        <v>16.0</v>
      </c>
      <c r="H126" s="7"/>
      <c r="I126" s="7">
        <f t="shared" si="4"/>
        <v>4.16</v>
      </c>
      <c r="J126" s="11" t="s">
        <v>260</v>
      </c>
    </row>
    <row r="127">
      <c r="A127" s="12" t="s">
        <v>10</v>
      </c>
      <c r="B127" s="4" t="s">
        <v>261</v>
      </c>
      <c r="C127" s="4">
        <f t="shared" si="1"/>
        <v>44467</v>
      </c>
      <c r="D127" s="6" t="str">
        <f t="shared" si="2"/>
        <v>2021-09</v>
      </c>
      <c r="E127" s="7">
        <f t="shared" si="3"/>
        <v>10350</v>
      </c>
      <c r="F127" s="8">
        <v>414.0</v>
      </c>
      <c r="G127" s="13">
        <v>13.0</v>
      </c>
      <c r="H127" s="7"/>
      <c r="I127" s="7">
        <f t="shared" si="4"/>
        <v>4.13</v>
      </c>
      <c r="J127" s="11" t="s">
        <v>262</v>
      </c>
    </row>
    <row r="128">
      <c r="A128" s="12" t="s">
        <v>10</v>
      </c>
      <c r="B128" s="4" t="s">
        <v>263</v>
      </c>
      <c r="C128" s="4">
        <f t="shared" si="1"/>
        <v>44549</v>
      </c>
      <c r="D128" s="6" t="str">
        <f t="shared" si="2"/>
        <v>2021-12</v>
      </c>
      <c r="E128" s="7">
        <f t="shared" si="3"/>
        <v>6375</v>
      </c>
      <c r="F128" s="8">
        <v>255.0</v>
      </c>
      <c r="G128" s="13">
        <v>3.0</v>
      </c>
      <c r="H128" s="7"/>
      <c r="I128" s="7">
        <f t="shared" si="4"/>
        <v>4.05</v>
      </c>
      <c r="J128" s="11" t="s">
        <v>264</v>
      </c>
    </row>
    <row r="129">
      <c r="A129" s="12" t="s">
        <v>10</v>
      </c>
      <c r="B129" s="4" t="s">
        <v>265</v>
      </c>
      <c r="C129" s="4">
        <f t="shared" si="1"/>
        <v>44830</v>
      </c>
      <c r="D129" s="6" t="str">
        <f t="shared" si="2"/>
        <v>2022-09</v>
      </c>
      <c r="E129" s="7">
        <f t="shared" si="3"/>
        <v>9775</v>
      </c>
      <c r="F129" s="8">
        <v>391.0</v>
      </c>
      <c r="G129" s="13">
        <v>10.0</v>
      </c>
      <c r="H129" s="7"/>
      <c r="I129" s="7">
        <f t="shared" si="4"/>
        <v>4.1</v>
      </c>
      <c r="J129" s="11" t="s">
        <v>266</v>
      </c>
    </row>
    <row r="130">
      <c r="A130" s="12" t="s">
        <v>10</v>
      </c>
      <c r="B130" s="4" t="s">
        <v>267</v>
      </c>
      <c r="C130" s="4">
        <f t="shared" si="1"/>
        <v>43911</v>
      </c>
      <c r="D130" s="6" t="str">
        <f t="shared" si="2"/>
        <v>2020-03</v>
      </c>
      <c r="E130" s="7">
        <f t="shared" si="3"/>
        <v>32175</v>
      </c>
      <c r="F130" s="8">
        <v>1287.0</v>
      </c>
      <c r="G130" s="13">
        <v>93.0</v>
      </c>
      <c r="H130" s="7"/>
      <c r="I130" s="7">
        <f t="shared" si="4"/>
        <v>4.29</v>
      </c>
      <c r="J130" s="11" t="s">
        <v>268</v>
      </c>
    </row>
    <row r="131">
      <c r="A131" s="12" t="s">
        <v>10</v>
      </c>
      <c r="B131" s="4" t="s">
        <v>269</v>
      </c>
      <c r="C131" s="4">
        <f t="shared" si="1"/>
        <v>44456</v>
      </c>
      <c r="D131" s="6" t="str">
        <f t="shared" si="2"/>
        <v>2021-09</v>
      </c>
      <c r="E131" s="7">
        <f t="shared" si="3"/>
        <v>6725</v>
      </c>
      <c r="F131" s="8">
        <v>269.0</v>
      </c>
      <c r="G131" s="13">
        <v>6.0</v>
      </c>
      <c r="H131" s="7"/>
      <c r="I131" s="7">
        <f t="shared" si="4"/>
        <v>4.09</v>
      </c>
      <c r="J131" s="11" t="s">
        <v>270</v>
      </c>
    </row>
    <row r="132">
      <c r="A132" s="12" t="s">
        <v>10</v>
      </c>
      <c r="B132" s="4" t="s">
        <v>271</v>
      </c>
      <c r="C132" s="4">
        <f t="shared" si="1"/>
        <v>44445</v>
      </c>
      <c r="D132" s="6" t="str">
        <f t="shared" si="2"/>
        <v>2021-09</v>
      </c>
      <c r="E132" s="7">
        <f t="shared" si="3"/>
        <v>14525</v>
      </c>
      <c r="F132" s="8">
        <v>581.0</v>
      </c>
      <c r="G132" s="13">
        <v>48.0</v>
      </c>
      <c r="H132" s="7"/>
      <c r="I132" s="7">
        <f t="shared" si="4"/>
        <v>4.33</v>
      </c>
      <c r="J132" s="11" t="s">
        <v>272</v>
      </c>
    </row>
    <row r="133">
      <c r="A133" s="12" t="s">
        <v>10</v>
      </c>
      <c r="B133" s="4" t="s">
        <v>273</v>
      </c>
      <c r="C133" s="4">
        <f t="shared" si="1"/>
        <v>44855</v>
      </c>
      <c r="D133" s="6" t="str">
        <f t="shared" si="2"/>
        <v>2022-10</v>
      </c>
      <c r="E133" s="7">
        <f t="shared" si="3"/>
        <v>9325</v>
      </c>
      <c r="F133" s="8">
        <v>373.0</v>
      </c>
      <c r="G133" s="13">
        <v>5.0</v>
      </c>
      <c r="H133" s="7"/>
      <c r="I133" s="7">
        <f t="shared" si="4"/>
        <v>4.05</v>
      </c>
      <c r="J133" s="11" t="s">
        <v>274</v>
      </c>
    </row>
    <row r="134">
      <c r="A134" s="12" t="s">
        <v>10</v>
      </c>
      <c r="B134" s="4" t="s">
        <v>275</v>
      </c>
      <c r="C134" s="4">
        <f t="shared" si="1"/>
        <v>44628</v>
      </c>
      <c r="D134" s="6" t="str">
        <f t="shared" si="2"/>
        <v>2022-03</v>
      </c>
      <c r="E134" s="7">
        <f t="shared" si="3"/>
        <v>6125</v>
      </c>
      <c r="F134" s="8">
        <v>245.0</v>
      </c>
      <c r="G134" s="13">
        <v>2.0</v>
      </c>
      <c r="H134" s="7"/>
      <c r="I134" s="7">
        <f t="shared" si="4"/>
        <v>4.03</v>
      </c>
      <c r="J134" s="11" t="s">
        <v>276</v>
      </c>
    </row>
    <row r="135">
      <c r="A135" s="12" t="s">
        <v>10</v>
      </c>
      <c r="B135" s="4" t="s">
        <v>277</v>
      </c>
      <c r="C135" s="4">
        <f t="shared" si="1"/>
        <v>44501</v>
      </c>
      <c r="D135" s="6" t="str">
        <f t="shared" si="2"/>
        <v>2021-11</v>
      </c>
      <c r="E135" s="7">
        <f t="shared" si="3"/>
        <v>7425</v>
      </c>
      <c r="F135" s="8">
        <v>297.0</v>
      </c>
      <c r="G135" s="13">
        <v>8.0</v>
      </c>
      <c r="H135" s="7"/>
      <c r="I135" s="7">
        <f t="shared" si="4"/>
        <v>4.11</v>
      </c>
      <c r="J135" s="11" t="s">
        <v>278</v>
      </c>
    </row>
    <row r="136">
      <c r="A136" s="12" t="s">
        <v>10</v>
      </c>
      <c r="B136" s="4" t="s">
        <v>279</v>
      </c>
      <c r="C136" s="4">
        <f t="shared" si="1"/>
        <v>44464</v>
      </c>
      <c r="D136" s="6" t="str">
        <f t="shared" si="2"/>
        <v>2021-09</v>
      </c>
      <c r="E136" s="7">
        <f t="shared" si="3"/>
        <v>9700</v>
      </c>
      <c r="F136" s="8">
        <v>388.0</v>
      </c>
      <c r="G136" s="13">
        <v>15.0</v>
      </c>
      <c r="H136" s="7"/>
      <c r="I136" s="7">
        <f t="shared" si="4"/>
        <v>4.15</v>
      </c>
      <c r="J136" s="11" t="s">
        <v>280</v>
      </c>
    </row>
    <row r="137">
      <c r="A137" s="12" t="s">
        <v>281</v>
      </c>
      <c r="B137" s="4" t="s">
        <v>282</v>
      </c>
      <c r="C137" s="4">
        <f t="shared" si="1"/>
        <v>45862</v>
      </c>
      <c r="D137" s="6" t="str">
        <f t="shared" si="2"/>
        <v>2025-07</v>
      </c>
      <c r="E137" s="7">
        <f t="shared" ref="E137:E189" si="5">ROUND(F2/0.025, 0)</f>
        <v>3520</v>
      </c>
      <c r="F137" s="8">
        <v>102.0</v>
      </c>
      <c r="G137" s="13">
        <v>2.0</v>
      </c>
      <c r="H137" s="13">
        <v>0.0</v>
      </c>
      <c r="I137" s="7">
        <f t="shared" si="4"/>
        <v>2.95</v>
      </c>
      <c r="J137" s="11" t="s">
        <v>283</v>
      </c>
    </row>
    <row r="138">
      <c r="A138" s="12" t="s">
        <v>281</v>
      </c>
      <c r="B138" s="4" t="s">
        <v>284</v>
      </c>
      <c r="C138" s="4">
        <f t="shared" si="1"/>
        <v>45855</v>
      </c>
      <c r="D138" s="6" t="str">
        <f t="shared" si="2"/>
        <v>2025-07</v>
      </c>
      <c r="E138" s="7">
        <f t="shared" si="5"/>
        <v>5040</v>
      </c>
      <c r="F138" s="8">
        <v>150.0</v>
      </c>
      <c r="G138" s="13">
        <v>1.0</v>
      </c>
      <c r="H138" s="13">
        <v>0.0</v>
      </c>
      <c r="I138" s="7">
        <f t="shared" si="4"/>
        <v>3</v>
      </c>
      <c r="J138" s="11" t="s">
        <v>285</v>
      </c>
    </row>
    <row r="139">
      <c r="A139" s="12" t="s">
        <v>281</v>
      </c>
      <c r="B139" s="4" t="s">
        <v>286</v>
      </c>
      <c r="C139" s="4">
        <f t="shared" si="1"/>
        <v>45853</v>
      </c>
      <c r="D139" s="6" t="str">
        <f t="shared" si="2"/>
        <v>2025-07</v>
      </c>
      <c r="E139" s="7">
        <f t="shared" si="5"/>
        <v>4680</v>
      </c>
      <c r="F139" s="8">
        <v>83.0</v>
      </c>
      <c r="G139" s="13">
        <v>0.0</v>
      </c>
      <c r="H139" s="13">
        <v>0.0</v>
      </c>
      <c r="I139" s="7">
        <f t="shared" si="4"/>
        <v>1.77</v>
      </c>
      <c r="J139" s="11" t="s">
        <v>287</v>
      </c>
    </row>
    <row r="140">
      <c r="A140" s="12" t="s">
        <v>281</v>
      </c>
      <c r="B140" s="4" t="s">
        <v>288</v>
      </c>
      <c r="C140" s="4">
        <f t="shared" si="1"/>
        <v>45876</v>
      </c>
      <c r="D140" s="6" t="str">
        <f t="shared" si="2"/>
        <v>2025-08</v>
      </c>
      <c r="E140" s="7">
        <f t="shared" si="5"/>
        <v>3920</v>
      </c>
      <c r="F140" s="8">
        <v>177.0</v>
      </c>
      <c r="G140" s="13">
        <v>1.0</v>
      </c>
      <c r="H140" s="13">
        <v>3.0</v>
      </c>
      <c r="I140" s="7">
        <f t="shared" si="4"/>
        <v>4.62</v>
      </c>
      <c r="J140" s="11" t="s">
        <v>289</v>
      </c>
    </row>
    <row r="141">
      <c r="A141" s="12" t="s">
        <v>281</v>
      </c>
      <c r="B141" s="4" t="s">
        <v>290</v>
      </c>
      <c r="C141" s="4">
        <f t="shared" si="1"/>
        <v>45876</v>
      </c>
      <c r="D141" s="6" t="str">
        <f t="shared" si="2"/>
        <v>2025-08</v>
      </c>
      <c r="E141" s="7">
        <f t="shared" si="5"/>
        <v>6160</v>
      </c>
      <c r="F141" s="8">
        <v>118.0</v>
      </c>
      <c r="G141" s="13">
        <v>1.0</v>
      </c>
      <c r="H141" s="13">
        <v>1.0</v>
      </c>
      <c r="I141" s="7">
        <f t="shared" si="4"/>
        <v>1.95</v>
      </c>
      <c r="J141" s="11" t="s">
        <v>291</v>
      </c>
    </row>
    <row r="142">
      <c r="A142" s="12" t="s">
        <v>281</v>
      </c>
      <c r="B142" s="4" t="s">
        <v>292</v>
      </c>
      <c r="C142" s="4">
        <f t="shared" si="1"/>
        <v>45876</v>
      </c>
      <c r="D142" s="6" t="str">
        <f t="shared" si="2"/>
        <v>2025-08</v>
      </c>
      <c r="E142" s="7">
        <f t="shared" si="5"/>
        <v>7160</v>
      </c>
      <c r="F142" s="8">
        <v>61.0</v>
      </c>
      <c r="G142" s="13">
        <v>0.0</v>
      </c>
      <c r="H142" s="13">
        <v>1.0</v>
      </c>
      <c r="I142" s="7">
        <f t="shared" si="4"/>
        <v>0.87</v>
      </c>
      <c r="J142" s="11" t="s">
        <v>293</v>
      </c>
    </row>
    <row r="143">
      <c r="A143" s="12" t="s">
        <v>281</v>
      </c>
      <c r="B143" s="4" t="s">
        <v>294</v>
      </c>
      <c r="C143" s="4">
        <f t="shared" si="1"/>
        <v>45870</v>
      </c>
      <c r="D143" s="6" t="str">
        <f t="shared" si="2"/>
        <v>2025-08</v>
      </c>
      <c r="E143" s="7">
        <f t="shared" si="5"/>
        <v>4520</v>
      </c>
      <c r="F143" s="8">
        <v>85.0</v>
      </c>
      <c r="G143" s="13">
        <v>0.0</v>
      </c>
      <c r="H143" s="13">
        <v>1.0</v>
      </c>
      <c r="I143" s="7">
        <f t="shared" si="4"/>
        <v>1.9</v>
      </c>
      <c r="J143" s="11" t="s">
        <v>295</v>
      </c>
    </row>
    <row r="144">
      <c r="A144" s="12" t="s">
        <v>281</v>
      </c>
      <c r="B144" s="4" t="s">
        <v>296</v>
      </c>
      <c r="C144" s="4">
        <f t="shared" si="1"/>
        <v>45870</v>
      </c>
      <c r="D144" s="6" t="str">
        <f t="shared" si="2"/>
        <v>2025-08</v>
      </c>
      <c r="E144" s="7">
        <f t="shared" si="5"/>
        <v>9960</v>
      </c>
      <c r="F144" s="8">
        <v>78.0</v>
      </c>
      <c r="G144" s="13">
        <v>0.0</v>
      </c>
      <c r="H144" s="13">
        <v>1.0</v>
      </c>
      <c r="I144" s="7">
        <f t="shared" si="4"/>
        <v>0.79</v>
      </c>
      <c r="J144" s="11" t="s">
        <v>297</v>
      </c>
    </row>
    <row r="145">
      <c r="A145" s="12" t="s">
        <v>281</v>
      </c>
      <c r="B145" s="4" t="s">
        <v>298</v>
      </c>
      <c r="C145" s="4">
        <f t="shared" si="1"/>
        <v>45869</v>
      </c>
      <c r="D145" s="6" t="str">
        <f t="shared" si="2"/>
        <v>2025-07</v>
      </c>
      <c r="E145" s="7">
        <f t="shared" si="5"/>
        <v>7960</v>
      </c>
      <c r="F145" s="8">
        <v>121.0</v>
      </c>
      <c r="G145" s="13">
        <v>1.0</v>
      </c>
      <c r="H145" s="13">
        <v>1.0</v>
      </c>
      <c r="I145" s="7">
        <f t="shared" si="4"/>
        <v>1.55</v>
      </c>
      <c r="J145" s="11" t="s">
        <v>299</v>
      </c>
    </row>
    <row r="146">
      <c r="A146" s="12" t="s">
        <v>281</v>
      </c>
      <c r="B146" s="4" t="s">
        <v>300</v>
      </c>
      <c r="C146" s="4">
        <f t="shared" si="1"/>
        <v>45869</v>
      </c>
      <c r="D146" s="6" t="str">
        <f t="shared" si="2"/>
        <v>2025-07</v>
      </c>
      <c r="E146" s="7">
        <f t="shared" si="5"/>
        <v>4480</v>
      </c>
      <c r="F146" s="8">
        <v>73.0</v>
      </c>
      <c r="G146" s="13">
        <v>0.0</v>
      </c>
      <c r="H146" s="13">
        <v>1.0</v>
      </c>
      <c r="I146" s="7">
        <f t="shared" si="4"/>
        <v>1.65</v>
      </c>
      <c r="J146" s="11" t="s">
        <v>301</v>
      </c>
    </row>
    <row r="147">
      <c r="A147" s="12" t="s">
        <v>281</v>
      </c>
      <c r="B147" s="4" t="s">
        <v>302</v>
      </c>
      <c r="C147" s="4">
        <f t="shared" si="1"/>
        <v>45869</v>
      </c>
      <c r="D147" s="6" t="str">
        <f t="shared" si="2"/>
        <v>2025-07</v>
      </c>
      <c r="E147" s="7">
        <f t="shared" si="5"/>
        <v>3560</v>
      </c>
      <c r="F147" s="8">
        <v>129.0</v>
      </c>
      <c r="G147" s="13">
        <v>1.0</v>
      </c>
      <c r="H147" s="13">
        <v>0.0</v>
      </c>
      <c r="I147" s="7">
        <f t="shared" si="4"/>
        <v>3.65</v>
      </c>
      <c r="J147" s="11" t="s">
        <v>303</v>
      </c>
    </row>
    <row r="148">
      <c r="A148" s="12" t="s">
        <v>281</v>
      </c>
      <c r="B148" s="4" t="s">
        <v>304</v>
      </c>
      <c r="C148" s="4">
        <f t="shared" si="1"/>
        <v>45863</v>
      </c>
      <c r="D148" s="6" t="str">
        <f t="shared" si="2"/>
        <v>2025-07</v>
      </c>
      <c r="E148" s="7">
        <f t="shared" si="5"/>
        <v>4200</v>
      </c>
      <c r="F148" s="8">
        <v>138.0</v>
      </c>
      <c r="G148" s="13">
        <v>1.0</v>
      </c>
      <c r="H148" s="13">
        <v>1.0</v>
      </c>
      <c r="I148" s="7">
        <f t="shared" si="4"/>
        <v>3.33</v>
      </c>
      <c r="J148" s="11" t="s">
        <v>305</v>
      </c>
    </row>
    <row r="149">
      <c r="A149" s="12" t="s">
        <v>281</v>
      </c>
      <c r="B149" s="4" t="s">
        <v>306</v>
      </c>
      <c r="C149" s="4">
        <f t="shared" si="1"/>
        <v>45862</v>
      </c>
      <c r="D149" s="6" t="str">
        <f t="shared" si="2"/>
        <v>2025-07</v>
      </c>
      <c r="E149" s="7">
        <f t="shared" si="5"/>
        <v>12640</v>
      </c>
      <c r="F149" s="8">
        <v>130.0</v>
      </c>
      <c r="G149" s="13">
        <v>2.0</v>
      </c>
      <c r="H149" s="13">
        <v>1.0</v>
      </c>
      <c r="I149" s="7">
        <f t="shared" si="4"/>
        <v>1.05</v>
      </c>
      <c r="J149" s="11" t="s">
        <v>307</v>
      </c>
    </row>
    <row r="150">
      <c r="A150" s="12" t="s">
        <v>281</v>
      </c>
      <c r="B150" s="4" t="s">
        <v>308</v>
      </c>
      <c r="C150" s="4">
        <f t="shared" si="1"/>
        <v>45916</v>
      </c>
      <c r="D150" s="6" t="str">
        <f t="shared" si="2"/>
        <v>2025-09</v>
      </c>
      <c r="E150" s="7">
        <f t="shared" si="5"/>
        <v>5520</v>
      </c>
      <c r="F150" s="8">
        <v>154.0</v>
      </c>
      <c r="G150" s="13">
        <v>0.0</v>
      </c>
      <c r="H150" s="13">
        <v>2.0</v>
      </c>
      <c r="I150" s="7">
        <f t="shared" si="4"/>
        <v>2.83</v>
      </c>
      <c r="J150" s="11" t="s">
        <v>309</v>
      </c>
    </row>
    <row r="151">
      <c r="A151" s="12" t="s">
        <v>281</v>
      </c>
      <c r="B151" s="4" t="s">
        <v>310</v>
      </c>
      <c r="C151" s="4">
        <f t="shared" si="1"/>
        <v>45910</v>
      </c>
      <c r="D151" s="6" t="str">
        <f t="shared" si="2"/>
        <v>2025-09</v>
      </c>
      <c r="E151" s="7">
        <f t="shared" si="5"/>
        <v>8720</v>
      </c>
      <c r="F151" s="8">
        <v>180.0</v>
      </c>
      <c r="G151" s="13">
        <v>6.0</v>
      </c>
      <c r="H151" s="13">
        <v>11.0</v>
      </c>
      <c r="I151" s="7">
        <f t="shared" si="4"/>
        <v>2.26</v>
      </c>
      <c r="J151" s="11" t="s">
        <v>311</v>
      </c>
    </row>
    <row r="152">
      <c r="A152" s="12" t="s">
        <v>281</v>
      </c>
      <c r="B152" s="4" t="s">
        <v>312</v>
      </c>
      <c r="C152" s="4">
        <f t="shared" si="1"/>
        <v>45909</v>
      </c>
      <c r="D152" s="6" t="str">
        <f t="shared" si="2"/>
        <v>2025-09</v>
      </c>
      <c r="E152" s="7">
        <f t="shared" si="5"/>
        <v>6480</v>
      </c>
      <c r="F152" s="8">
        <v>324.0</v>
      </c>
      <c r="G152" s="13">
        <v>20.0</v>
      </c>
      <c r="H152" s="13">
        <v>14.0</v>
      </c>
      <c r="I152" s="7">
        <f t="shared" si="4"/>
        <v>5.52</v>
      </c>
      <c r="J152" s="11" t="s">
        <v>313</v>
      </c>
    </row>
    <row r="153">
      <c r="A153" s="12" t="s">
        <v>281</v>
      </c>
      <c r="B153" s="4" t="s">
        <v>314</v>
      </c>
      <c r="C153" s="4">
        <f t="shared" si="1"/>
        <v>45908</v>
      </c>
      <c r="D153" s="6" t="str">
        <f t="shared" si="2"/>
        <v>2025-09</v>
      </c>
      <c r="E153" s="7">
        <f t="shared" si="5"/>
        <v>4320</v>
      </c>
      <c r="F153" s="8">
        <v>164.0</v>
      </c>
      <c r="G153" s="13">
        <v>0.0</v>
      </c>
      <c r="H153" s="13">
        <v>2.0</v>
      </c>
      <c r="I153" s="7">
        <f t="shared" si="4"/>
        <v>3.84</v>
      </c>
      <c r="J153" s="11" t="s">
        <v>315</v>
      </c>
    </row>
    <row r="154">
      <c r="A154" s="12" t="s">
        <v>281</v>
      </c>
      <c r="B154" s="4" t="s">
        <v>316</v>
      </c>
      <c r="C154" s="4">
        <f t="shared" si="1"/>
        <v>45900</v>
      </c>
      <c r="D154" s="6" t="str">
        <f t="shared" si="2"/>
        <v>2025-08</v>
      </c>
      <c r="E154" s="7">
        <f t="shared" si="5"/>
        <v>6680</v>
      </c>
      <c r="F154" s="8">
        <v>142.0</v>
      </c>
      <c r="G154" s="13">
        <v>3.0</v>
      </c>
      <c r="H154" s="13">
        <v>8.0</v>
      </c>
      <c r="I154" s="7">
        <f t="shared" si="4"/>
        <v>2.29</v>
      </c>
      <c r="J154" s="11" t="s">
        <v>317</v>
      </c>
    </row>
    <row r="155">
      <c r="A155" s="12" t="s">
        <v>281</v>
      </c>
      <c r="B155" s="4" t="s">
        <v>318</v>
      </c>
      <c r="C155" s="4">
        <f t="shared" si="1"/>
        <v>45895</v>
      </c>
      <c r="D155" s="6" t="str">
        <f t="shared" si="2"/>
        <v>2025-08</v>
      </c>
      <c r="E155" s="7">
        <f t="shared" si="5"/>
        <v>2480</v>
      </c>
      <c r="F155" s="8">
        <v>150.0</v>
      </c>
      <c r="G155" s="13">
        <v>0.0</v>
      </c>
      <c r="H155" s="13">
        <v>5.0</v>
      </c>
      <c r="I155" s="7">
        <f t="shared" si="4"/>
        <v>6.25</v>
      </c>
      <c r="J155" s="11" t="s">
        <v>319</v>
      </c>
    </row>
    <row r="156">
      <c r="A156" s="12" t="s">
        <v>281</v>
      </c>
      <c r="B156" s="4" t="s">
        <v>320</v>
      </c>
      <c r="C156" s="4">
        <f t="shared" si="1"/>
        <v>45890</v>
      </c>
      <c r="D156" s="6" t="str">
        <f t="shared" si="2"/>
        <v>2025-08</v>
      </c>
      <c r="E156" s="7">
        <f t="shared" si="5"/>
        <v>3160</v>
      </c>
      <c r="F156" s="8">
        <v>110.0</v>
      </c>
      <c r="G156" s="13">
        <v>0.0</v>
      </c>
      <c r="H156" s="13">
        <v>0.0</v>
      </c>
      <c r="I156" s="7">
        <f t="shared" si="4"/>
        <v>3.48</v>
      </c>
      <c r="J156" s="11" t="s">
        <v>321</v>
      </c>
    </row>
    <row r="157">
      <c r="A157" s="12" t="s">
        <v>281</v>
      </c>
      <c r="B157" s="4" t="s">
        <v>322</v>
      </c>
      <c r="C157" s="4">
        <f t="shared" si="1"/>
        <v>45890</v>
      </c>
      <c r="D157" s="6" t="str">
        <f t="shared" si="2"/>
        <v>2025-08</v>
      </c>
      <c r="E157" s="7">
        <f t="shared" si="5"/>
        <v>2440</v>
      </c>
      <c r="F157" s="8">
        <v>116.0</v>
      </c>
      <c r="G157" s="13">
        <v>1.0</v>
      </c>
      <c r="H157" s="13">
        <v>2.0</v>
      </c>
      <c r="I157" s="7">
        <f t="shared" si="4"/>
        <v>4.88</v>
      </c>
      <c r="J157" s="11" t="s">
        <v>323</v>
      </c>
    </row>
    <row r="158">
      <c r="A158" s="12" t="s">
        <v>281</v>
      </c>
      <c r="B158" s="4" t="s">
        <v>324</v>
      </c>
      <c r="C158" s="4">
        <f t="shared" si="1"/>
        <v>45890</v>
      </c>
      <c r="D158" s="6" t="str">
        <f t="shared" si="2"/>
        <v>2025-08</v>
      </c>
      <c r="E158" s="7">
        <f t="shared" si="5"/>
        <v>3680</v>
      </c>
      <c r="F158" s="8">
        <v>117.0</v>
      </c>
      <c r="G158" s="13">
        <v>2.0</v>
      </c>
      <c r="H158" s="13">
        <v>0.0</v>
      </c>
      <c r="I158" s="7">
        <f t="shared" si="4"/>
        <v>3.23</v>
      </c>
      <c r="J158" s="11" t="s">
        <v>325</v>
      </c>
    </row>
    <row r="159">
      <c r="A159" s="12" t="s">
        <v>281</v>
      </c>
      <c r="B159" s="4" t="s">
        <v>326</v>
      </c>
      <c r="C159" s="4">
        <f t="shared" si="1"/>
        <v>45876</v>
      </c>
      <c r="D159" s="6" t="str">
        <f t="shared" si="2"/>
        <v>2025-08</v>
      </c>
      <c r="E159" s="7">
        <f t="shared" si="5"/>
        <v>5520</v>
      </c>
      <c r="F159" s="8">
        <v>71.0</v>
      </c>
      <c r="G159" s="13">
        <v>0.0</v>
      </c>
      <c r="H159" s="13">
        <v>1.0</v>
      </c>
      <c r="I159" s="7">
        <f t="shared" si="4"/>
        <v>1.3</v>
      </c>
      <c r="J159" s="11" t="s">
        <v>327</v>
      </c>
    </row>
    <row r="160">
      <c r="A160" s="12" t="s">
        <v>281</v>
      </c>
      <c r="B160" s="4" t="s">
        <v>328</v>
      </c>
      <c r="C160" s="4">
        <f t="shared" si="1"/>
        <v>45999</v>
      </c>
      <c r="D160" s="6" t="str">
        <f t="shared" si="2"/>
        <v>2025-12</v>
      </c>
      <c r="E160" s="7">
        <f t="shared" si="5"/>
        <v>3760</v>
      </c>
      <c r="F160" s="8">
        <v>60.0</v>
      </c>
      <c r="G160" s="13">
        <v>1.0</v>
      </c>
      <c r="H160" s="13">
        <v>2.0</v>
      </c>
      <c r="I160" s="7">
        <f t="shared" si="4"/>
        <v>1.68</v>
      </c>
      <c r="J160" s="11" t="s">
        <v>329</v>
      </c>
    </row>
    <row r="161">
      <c r="A161" s="12" t="s">
        <v>281</v>
      </c>
      <c r="B161" s="4" t="s">
        <v>330</v>
      </c>
      <c r="C161" s="4">
        <f t="shared" si="1"/>
        <v>45988</v>
      </c>
      <c r="D161" s="6" t="str">
        <f t="shared" si="2"/>
        <v>2025-11</v>
      </c>
      <c r="E161" s="7">
        <f t="shared" si="5"/>
        <v>5840</v>
      </c>
      <c r="F161" s="8">
        <v>90.0</v>
      </c>
      <c r="G161" s="13">
        <v>0.0</v>
      </c>
      <c r="H161" s="13">
        <v>0.0</v>
      </c>
      <c r="I161" s="7">
        <f t="shared" si="4"/>
        <v>1.54</v>
      </c>
      <c r="J161" s="11" t="s">
        <v>331</v>
      </c>
    </row>
    <row r="162">
      <c r="A162" s="12" t="s">
        <v>281</v>
      </c>
      <c r="B162" s="4" t="s">
        <v>332</v>
      </c>
      <c r="C162" s="4">
        <f t="shared" si="1"/>
        <v>45981</v>
      </c>
      <c r="D162" s="6" t="str">
        <f t="shared" si="2"/>
        <v>2025-11</v>
      </c>
      <c r="E162" s="7">
        <f t="shared" si="5"/>
        <v>5160</v>
      </c>
      <c r="F162" s="8">
        <v>35.0</v>
      </c>
      <c r="G162" s="13">
        <v>0.0</v>
      </c>
      <c r="H162" s="13">
        <v>0.0</v>
      </c>
      <c r="I162" s="7">
        <f t="shared" si="4"/>
        <v>0.68</v>
      </c>
      <c r="J162" s="11" t="s">
        <v>333</v>
      </c>
    </row>
    <row r="163">
      <c r="A163" s="12" t="s">
        <v>281</v>
      </c>
      <c r="B163" s="4" t="s">
        <v>334</v>
      </c>
      <c r="C163" s="4">
        <f t="shared" si="1"/>
        <v>45978</v>
      </c>
      <c r="D163" s="6" t="str">
        <f t="shared" si="2"/>
        <v>2025-11</v>
      </c>
      <c r="E163" s="7">
        <f t="shared" si="5"/>
        <v>6280</v>
      </c>
      <c r="F163" s="8">
        <v>185.0</v>
      </c>
      <c r="G163" s="13">
        <v>3.0</v>
      </c>
      <c r="H163" s="13">
        <v>1.0</v>
      </c>
      <c r="I163" s="7">
        <f t="shared" si="4"/>
        <v>3.01</v>
      </c>
      <c r="J163" s="11" t="s">
        <v>335</v>
      </c>
    </row>
    <row r="164">
      <c r="A164" s="12" t="s">
        <v>281</v>
      </c>
      <c r="B164" s="4" t="s">
        <v>336</v>
      </c>
      <c r="C164" s="4">
        <f t="shared" si="1"/>
        <v>45966</v>
      </c>
      <c r="D164" s="6" t="str">
        <f t="shared" si="2"/>
        <v>2025-11</v>
      </c>
      <c r="E164" s="7">
        <f t="shared" si="5"/>
        <v>10880</v>
      </c>
      <c r="F164" s="8">
        <v>38.0</v>
      </c>
      <c r="G164" s="13">
        <v>0.0</v>
      </c>
      <c r="H164" s="13">
        <v>0.0</v>
      </c>
      <c r="I164" s="7">
        <f t="shared" si="4"/>
        <v>0.35</v>
      </c>
      <c r="J164" s="11" t="s">
        <v>337</v>
      </c>
    </row>
    <row r="165">
      <c r="A165" s="12" t="s">
        <v>281</v>
      </c>
      <c r="B165" s="4" t="s">
        <v>338</v>
      </c>
      <c r="C165" s="4">
        <f t="shared" si="1"/>
        <v>45965</v>
      </c>
      <c r="D165" s="6" t="str">
        <f t="shared" si="2"/>
        <v>2025-11</v>
      </c>
      <c r="E165" s="7">
        <f t="shared" si="5"/>
        <v>3920</v>
      </c>
      <c r="F165" s="8">
        <v>229.0</v>
      </c>
      <c r="G165" s="13">
        <v>0.0</v>
      </c>
      <c r="H165" s="13">
        <v>2.0</v>
      </c>
      <c r="I165" s="7">
        <f t="shared" si="4"/>
        <v>5.89</v>
      </c>
      <c r="J165" s="11" t="s">
        <v>339</v>
      </c>
    </row>
    <row r="166">
      <c r="A166" s="12" t="s">
        <v>281</v>
      </c>
      <c r="B166" s="4" t="s">
        <v>340</v>
      </c>
      <c r="C166" s="4">
        <f t="shared" si="1"/>
        <v>45962</v>
      </c>
      <c r="D166" s="6" t="str">
        <f t="shared" si="2"/>
        <v>2025-11</v>
      </c>
      <c r="E166" s="7">
        <f t="shared" si="5"/>
        <v>6040</v>
      </c>
      <c r="F166" s="8">
        <v>192.0</v>
      </c>
      <c r="G166" s="13">
        <v>0.0</v>
      </c>
      <c r="H166" s="13">
        <v>0.0</v>
      </c>
      <c r="I166" s="7">
        <f t="shared" si="4"/>
        <v>3.18</v>
      </c>
      <c r="J166" s="11" t="s">
        <v>341</v>
      </c>
    </row>
    <row r="167">
      <c r="A167" s="12" t="s">
        <v>281</v>
      </c>
      <c r="B167" s="4" t="s">
        <v>342</v>
      </c>
      <c r="C167" s="4">
        <f t="shared" si="1"/>
        <v>45947</v>
      </c>
      <c r="D167" s="6" t="str">
        <f t="shared" si="2"/>
        <v>2025-10</v>
      </c>
      <c r="E167" s="7">
        <f t="shared" si="5"/>
        <v>8480</v>
      </c>
      <c r="F167" s="8">
        <v>379.0</v>
      </c>
      <c r="G167" s="13">
        <v>2.0</v>
      </c>
      <c r="H167" s="13">
        <v>1.0</v>
      </c>
      <c r="I167" s="7">
        <f t="shared" si="4"/>
        <v>4.5</v>
      </c>
      <c r="J167" s="11" t="s">
        <v>343</v>
      </c>
    </row>
    <row r="168">
      <c r="A168" s="12" t="s">
        <v>281</v>
      </c>
      <c r="B168" s="4" t="s">
        <v>344</v>
      </c>
      <c r="C168" s="4">
        <f t="shared" si="1"/>
        <v>45947</v>
      </c>
      <c r="D168" s="6" t="str">
        <f t="shared" si="2"/>
        <v>2025-10</v>
      </c>
      <c r="E168" s="7">
        <f t="shared" si="5"/>
        <v>4680</v>
      </c>
      <c r="F168" s="8">
        <v>37.0</v>
      </c>
      <c r="G168" s="13">
        <v>0.0</v>
      </c>
      <c r="H168" s="13">
        <v>0.0</v>
      </c>
      <c r="I168" s="7">
        <f t="shared" si="4"/>
        <v>0.79</v>
      </c>
      <c r="J168" s="11" t="s">
        <v>345</v>
      </c>
    </row>
    <row r="169">
      <c r="A169" s="12" t="s">
        <v>281</v>
      </c>
      <c r="B169" s="4" t="s">
        <v>346</v>
      </c>
      <c r="C169" s="4">
        <f t="shared" si="1"/>
        <v>45926</v>
      </c>
      <c r="D169" s="6" t="str">
        <f t="shared" si="2"/>
        <v>2025-09</v>
      </c>
      <c r="E169" s="7">
        <f t="shared" si="5"/>
        <v>2000</v>
      </c>
      <c r="F169" s="8">
        <v>244.0</v>
      </c>
      <c r="G169" s="13">
        <v>2.0</v>
      </c>
      <c r="H169" s="13">
        <v>0.0</v>
      </c>
      <c r="I169" s="7">
        <f t="shared" si="4"/>
        <v>12.3</v>
      </c>
      <c r="J169" s="11" t="s">
        <v>347</v>
      </c>
    </row>
    <row r="170">
      <c r="A170" s="12" t="s">
        <v>281</v>
      </c>
      <c r="B170" s="4" t="s">
        <v>348</v>
      </c>
      <c r="C170" s="4">
        <f t="shared" si="1"/>
        <v>46098</v>
      </c>
      <c r="D170" s="6" t="str">
        <f t="shared" si="2"/>
        <v>2026-03</v>
      </c>
      <c r="E170" s="7">
        <f t="shared" si="5"/>
        <v>2280</v>
      </c>
      <c r="F170" s="8">
        <v>45.0</v>
      </c>
      <c r="G170" s="13">
        <v>0.0</v>
      </c>
      <c r="H170" s="13">
        <v>0.0</v>
      </c>
      <c r="I170" s="7">
        <f t="shared" si="4"/>
        <v>1.97</v>
      </c>
      <c r="J170" s="11" t="s">
        <v>349</v>
      </c>
    </row>
    <row r="171">
      <c r="A171" s="12" t="s">
        <v>281</v>
      </c>
      <c r="B171" s="4" t="s">
        <v>350</v>
      </c>
      <c r="C171" s="4">
        <f t="shared" si="1"/>
        <v>46097</v>
      </c>
      <c r="D171" s="6" t="str">
        <f t="shared" si="2"/>
        <v>2026-03</v>
      </c>
      <c r="E171" s="7">
        <f t="shared" si="5"/>
        <v>4280</v>
      </c>
      <c r="F171" s="8">
        <v>90.0</v>
      </c>
      <c r="G171" s="13">
        <v>0.0</v>
      </c>
      <c r="H171" s="13">
        <v>0.0</v>
      </c>
      <c r="I171" s="7">
        <f t="shared" si="4"/>
        <v>2.1</v>
      </c>
      <c r="J171" s="11" t="s">
        <v>351</v>
      </c>
    </row>
    <row r="172">
      <c r="A172" s="12" t="s">
        <v>281</v>
      </c>
      <c r="B172" s="4" t="s">
        <v>352</v>
      </c>
      <c r="C172" s="4">
        <f t="shared" si="1"/>
        <v>46069</v>
      </c>
      <c r="D172" s="6" t="str">
        <f t="shared" si="2"/>
        <v>2026-02</v>
      </c>
      <c r="E172" s="7">
        <f t="shared" si="5"/>
        <v>4120</v>
      </c>
      <c r="F172" s="8">
        <v>82.0</v>
      </c>
      <c r="G172" s="13">
        <v>2.0</v>
      </c>
      <c r="H172" s="13">
        <v>2.0</v>
      </c>
      <c r="I172" s="7">
        <f t="shared" si="4"/>
        <v>2.09</v>
      </c>
      <c r="J172" s="11" t="s">
        <v>353</v>
      </c>
    </row>
    <row r="173">
      <c r="A173" s="12" t="s">
        <v>281</v>
      </c>
      <c r="B173" s="4" t="s">
        <v>354</v>
      </c>
      <c r="C173" s="4">
        <f t="shared" si="1"/>
        <v>46064</v>
      </c>
      <c r="D173" s="6" t="str">
        <f t="shared" si="2"/>
        <v>2026-02</v>
      </c>
      <c r="E173" s="7">
        <f t="shared" si="5"/>
        <v>2720</v>
      </c>
      <c r="F173" s="8">
        <v>114.0</v>
      </c>
      <c r="G173" s="13">
        <v>4.0</v>
      </c>
      <c r="H173" s="13">
        <v>7.0</v>
      </c>
      <c r="I173" s="7">
        <f t="shared" si="4"/>
        <v>4.6</v>
      </c>
      <c r="J173" s="11" t="s">
        <v>355</v>
      </c>
    </row>
    <row r="174">
      <c r="A174" s="12" t="s">
        <v>281</v>
      </c>
      <c r="B174" s="4" t="s">
        <v>356</v>
      </c>
      <c r="C174" s="4">
        <f t="shared" si="1"/>
        <v>46063</v>
      </c>
      <c r="D174" s="6" t="str">
        <f t="shared" si="2"/>
        <v>2026-02</v>
      </c>
      <c r="E174" s="7">
        <f t="shared" si="5"/>
        <v>5600</v>
      </c>
      <c r="F174" s="8">
        <v>141.0</v>
      </c>
      <c r="G174" s="13">
        <v>1.0</v>
      </c>
      <c r="H174" s="13">
        <v>1.0</v>
      </c>
      <c r="I174" s="7">
        <f t="shared" si="4"/>
        <v>2.55</v>
      </c>
      <c r="J174" s="11" t="s">
        <v>357</v>
      </c>
    </row>
    <row r="175">
      <c r="A175" s="12" t="s">
        <v>281</v>
      </c>
      <c r="B175" s="4" t="s">
        <v>358</v>
      </c>
      <c r="C175" s="4">
        <f t="shared" si="1"/>
        <v>46059</v>
      </c>
      <c r="D175" s="6" t="str">
        <f t="shared" si="2"/>
        <v>2026-02</v>
      </c>
      <c r="E175" s="7">
        <f t="shared" si="5"/>
        <v>3200</v>
      </c>
      <c r="F175" s="8">
        <v>94.0</v>
      </c>
      <c r="G175" s="13">
        <v>0.0</v>
      </c>
      <c r="H175" s="13">
        <v>0.0</v>
      </c>
      <c r="I175" s="7">
        <f t="shared" si="4"/>
        <v>2.94</v>
      </c>
      <c r="J175" s="11" t="s">
        <v>359</v>
      </c>
    </row>
    <row r="176">
      <c r="A176" s="12" t="s">
        <v>281</v>
      </c>
      <c r="B176" s="4" t="s">
        <v>360</v>
      </c>
      <c r="C176" s="4">
        <f t="shared" si="1"/>
        <v>46045</v>
      </c>
      <c r="D176" s="6" t="str">
        <f t="shared" si="2"/>
        <v>2026-01</v>
      </c>
      <c r="E176" s="7">
        <f t="shared" si="5"/>
        <v>2680</v>
      </c>
      <c r="F176" s="8">
        <v>92.0</v>
      </c>
      <c r="G176" s="13">
        <v>0.0</v>
      </c>
      <c r="H176" s="13">
        <v>2.0</v>
      </c>
      <c r="I176" s="7">
        <f t="shared" si="4"/>
        <v>3.51</v>
      </c>
      <c r="J176" s="11" t="s">
        <v>361</v>
      </c>
    </row>
    <row r="177">
      <c r="A177" s="12" t="s">
        <v>281</v>
      </c>
      <c r="B177" s="4" t="s">
        <v>362</v>
      </c>
      <c r="C177" s="4">
        <f t="shared" si="1"/>
        <v>46016</v>
      </c>
      <c r="D177" s="6" t="str">
        <f t="shared" si="2"/>
        <v>2025-12</v>
      </c>
      <c r="E177" s="7">
        <f t="shared" si="5"/>
        <v>8880</v>
      </c>
      <c r="F177" s="8">
        <v>223.0</v>
      </c>
      <c r="G177" s="13">
        <v>0.0</v>
      </c>
      <c r="H177" s="13">
        <v>0.0</v>
      </c>
      <c r="I177" s="7">
        <f t="shared" si="4"/>
        <v>2.51</v>
      </c>
      <c r="J177" s="11" t="s">
        <v>363</v>
      </c>
    </row>
    <row r="178">
      <c r="A178" s="12" t="s">
        <v>281</v>
      </c>
      <c r="B178" s="4" t="s">
        <v>364</v>
      </c>
      <c r="C178" s="4">
        <f t="shared" si="1"/>
        <v>46003</v>
      </c>
      <c r="D178" s="6" t="str">
        <f t="shared" si="2"/>
        <v>2025-12</v>
      </c>
      <c r="E178" s="7">
        <f t="shared" si="5"/>
        <v>4720</v>
      </c>
      <c r="F178" s="8">
        <v>66.0</v>
      </c>
      <c r="G178" s="13">
        <v>0.0</v>
      </c>
      <c r="H178" s="13">
        <v>2.0</v>
      </c>
      <c r="I178" s="7">
        <f t="shared" si="4"/>
        <v>1.44</v>
      </c>
      <c r="J178" s="11" t="s">
        <v>365</v>
      </c>
    </row>
    <row r="179">
      <c r="A179" s="12" t="s">
        <v>281</v>
      </c>
      <c r="B179" s="4" t="s">
        <v>366</v>
      </c>
      <c r="C179" s="4">
        <f t="shared" si="1"/>
        <v>46001</v>
      </c>
      <c r="D179" s="6" t="str">
        <f t="shared" si="2"/>
        <v>2025-12</v>
      </c>
      <c r="E179" s="7">
        <f t="shared" si="5"/>
        <v>7680</v>
      </c>
      <c r="F179" s="8">
        <v>96.0</v>
      </c>
      <c r="G179" s="13">
        <v>2.0</v>
      </c>
      <c r="H179" s="13">
        <v>0.0</v>
      </c>
      <c r="I179" s="7">
        <f t="shared" si="4"/>
        <v>1.28</v>
      </c>
      <c r="J179" s="11" t="s">
        <v>367</v>
      </c>
    </row>
    <row r="180">
      <c r="A180" s="12" t="s">
        <v>281</v>
      </c>
      <c r="B180" s="4" t="s">
        <v>368</v>
      </c>
      <c r="C180" s="4">
        <f t="shared" si="1"/>
        <v>46150</v>
      </c>
      <c r="D180" s="6" t="str">
        <f t="shared" si="2"/>
        <v>2026-05</v>
      </c>
      <c r="E180" s="7">
        <f t="shared" si="5"/>
        <v>1760</v>
      </c>
      <c r="F180" s="8">
        <v>103.0</v>
      </c>
      <c r="G180" s="13">
        <v>5.0</v>
      </c>
      <c r="H180" s="13">
        <v>5.0</v>
      </c>
      <c r="I180" s="7">
        <f t="shared" si="4"/>
        <v>6.42</v>
      </c>
      <c r="J180" s="11" t="s">
        <v>369</v>
      </c>
    </row>
    <row r="181">
      <c r="A181" s="12" t="s">
        <v>281</v>
      </c>
      <c r="B181" s="4" t="s">
        <v>370</v>
      </c>
      <c r="C181" s="4">
        <f t="shared" si="1"/>
        <v>46149</v>
      </c>
      <c r="D181" s="6" t="str">
        <f t="shared" si="2"/>
        <v>2026-05</v>
      </c>
      <c r="E181" s="7">
        <f t="shared" si="5"/>
        <v>2640</v>
      </c>
      <c r="F181" s="8">
        <v>50.0</v>
      </c>
      <c r="G181" s="13">
        <v>0.0</v>
      </c>
      <c r="H181" s="13">
        <v>8.0</v>
      </c>
      <c r="I181" s="7">
        <f t="shared" si="4"/>
        <v>2.2</v>
      </c>
      <c r="J181" s="11" t="s">
        <v>371</v>
      </c>
    </row>
    <row r="182">
      <c r="A182" s="12" t="s">
        <v>281</v>
      </c>
      <c r="B182" s="4" t="s">
        <v>372</v>
      </c>
      <c r="C182" s="4">
        <f t="shared" si="1"/>
        <v>46141</v>
      </c>
      <c r="D182" s="6" t="str">
        <f t="shared" si="2"/>
        <v>2026-04</v>
      </c>
      <c r="E182" s="7">
        <f t="shared" si="5"/>
        <v>3280</v>
      </c>
      <c r="F182" s="8">
        <v>112.0</v>
      </c>
      <c r="G182" s="13">
        <v>3.0</v>
      </c>
      <c r="H182" s="13">
        <v>5.0</v>
      </c>
      <c r="I182" s="7">
        <f t="shared" si="4"/>
        <v>3.66</v>
      </c>
      <c r="J182" s="11" t="s">
        <v>373</v>
      </c>
    </row>
    <row r="183">
      <c r="A183" s="12" t="s">
        <v>281</v>
      </c>
      <c r="B183" s="4" t="s">
        <v>374</v>
      </c>
      <c r="C183" s="4">
        <f t="shared" si="1"/>
        <v>46122</v>
      </c>
      <c r="D183" s="6" t="str">
        <f t="shared" si="2"/>
        <v>2026-04</v>
      </c>
      <c r="E183" s="7">
        <f t="shared" si="5"/>
        <v>2520</v>
      </c>
      <c r="F183" s="8">
        <v>69.0</v>
      </c>
      <c r="G183" s="13">
        <v>2.0</v>
      </c>
      <c r="H183" s="13">
        <v>3.0</v>
      </c>
      <c r="I183" s="7">
        <f t="shared" si="4"/>
        <v>2.94</v>
      </c>
      <c r="J183" s="11" t="s">
        <v>375</v>
      </c>
    </row>
    <row r="184">
      <c r="A184" s="12" t="s">
        <v>281</v>
      </c>
      <c r="B184" s="4" t="s">
        <v>376</v>
      </c>
      <c r="C184" s="4">
        <f t="shared" si="1"/>
        <v>46121</v>
      </c>
      <c r="D184" s="6" t="str">
        <f t="shared" si="2"/>
        <v>2026-04</v>
      </c>
      <c r="E184" s="7">
        <f t="shared" si="5"/>
        <v>4160</v>
      </c>
      <c r="F184" s="8">
        <v>29.0</v>
      </c>
      <c r="G184" s="13">
        <v>0.0</v>
      </c>
      <c r="H184" s="13">
        <v>0.0</v>
      </c>
      <c r="I184" s="7">
        <f t="shared" si="4"/>
        <v>0.7</v>
      </c>
      <c r="J184" s="11" t="s">
        <v>377</v>
      </c>
    </row>
    <row r="185">
      <c r="A185" s="12" t="s">
        <v>281</v>
      </c>
      <c r="B185" s="4" t="s">
        <v>378</v>
      </c>
      <c r="C185" s="4">
        <f t="shared" si="1"/>
        <v>46114</v>
      </c>
      <c r="D185" s="6" t="str">
        <f t="shared" si="2"/>
        <v>2026-04</v>
      </c>
      <c r="E185" s="7">
        <f t="shared" si="5"/>
        <v>2400</v>
      </c>
      <c r="F185" s="8">
        <v>33.0</v>
      </c>
      <c r="G185" s="13">
        <v>1.0</v>
      </c>
      <c r="H185" s="13">
        <v>2.0</v>
      </c>
      <c r="I185" s="7">
        <f t="shared" si="4"/>
        <v>1.5</v>
      </c>
      <c r="J185" s="11" t="s">
        <v>379</v>
      </c>
    </row>
    <row r="186">
      <c r="A186" s="12" t="s">
        <v>281</v>
      </c>
      <c r="B186" s="4" t="s">
        <v>380</v>
      </c>
      <c r="C186" s="4">
        <f t="shared" si="1"/>
        <v>46112</v>
      </c>
      <c r="D186" s="6" t="str">
        <f t="shared" si="2"/>
        <v>2026-03</v>
      </c>
      <c r="E186" s="7">
        <f t="shared" si="5"/>
        <v>3080</v>
      </c>
      <c r="F186" s="8">
        <v>147.0</v>
      </c>
      <c r="G186" s="13">
        <v>0.0</v>
      </c>
      <c r="H186" s="13">
        <v>1.0</v>
      </c>
      <c r="I186" s="7">
        <f t="shared" si="4"/>
        <v>4.81</v>
      </c>
      <c r="J186" s="11" t="s">
        <v>381</v>
      </c>
    </row>
    <row r="187">
      <c r="A187" s="12" t="s">
        <v>281</v>
      </c>
      <c r="B187" s="4" t="s">
        <v>382</v>
      </c>
      <c r="C187" s="4">
        <f t="shared" si="1"/>
        <v>46112</v>
      </c>
      <c r="D187" s="6" t="str">
        <f t="shared" si="2"/>
        <v>2026-03</v>
      </c>
      <c r="E187" s="7">
        <f t="shared" si="5"/>
        <v>2640</v>
      </c>
      <c r="F187" s="8">
        <v>93.0</v>
      </c>
      <c r="G187" s="13">
        <v>0.0</v>
      </c>
      <c r="H187" s="13">
        <v>3.0</v>
      </c>
      <c r="I187" s="7">
        <f t="shared" si="4"/>
        <v>3.64</v>
      </c>
      <c r="J187" s="11" t="s">
        <v>383</v>
      </c>
    </row>
    <row r="188">
      <c r="A188" s="12" t="s">
        <v>281</v>
      </c>
      <c r="B188" s="4" t="s">
        <v>384</v>
      </c>
      <c r="C188" s="4">
        <f t="shared" si="1"/>
        <v>46111</v>
      </c>
      <c r="D188" s="6" t="str">
        <f t="shared" si="2"/>
        <v>2026-03</v>
      </c>
      <c r="E188" s="7">
        <f t="shared" si="5"/>
        <v>2560</v>
      </c>
      <c r="F188" s="8">
        <v>144.0</v>
      </c>
      <c r="G188" s="13">
        <v>0.0</v>
      </c>
      <c r="H188" s="13">
        <v>1.0</v>
      </c>
      <c r="I188" s="7">
        <f t="shared" si="4"/>
        <v>5.66</v>
      </c>
      <c r="J188" s="11" t="s">
        <v>385</v>
      </c>
    </row>
    <row r="189">
      <c r="A189" s="12" t="s">
        <v>281</v>
      </c>
      <c r="B189" s="4" t="s">
        <v>386</v>
      </c>
      <c r="C189" s="4">
        <f t="shared" si="1"/>
        <v>46108</v>
      </c>
      <c r="D189" s="6" t="str">
        <f t="shared" si="2"/>
        <v>2026-03</v>
      </c>
      <c r="E189" s="7">
        <f t="shared" si="5"/>
        <v>4720</v>
      </c>
      <c r="F189" s="8">
        <v>133.0</v>
      </c>
      <c r="G189" s="13">
        <v>3.0</v>
      </c>
      <c r="H189" s="13">
        <v>8.0</v>
      </c>
      <c r="I189" s="7">
        <f t="shared" si="4"/>
        <v>3.05</v>
      </c>
      <c r="J189" s="11" t="s">
        <v>387</v>
      </c>
    </row>
    <row r="190">
      <c r="A190" s="12" t="s">
        <v>388</v>
      </c>
      <c r="B190" s="4" t="s">
        <v>389</v>
      </c>
      <c r="C190" s="4">
        <f t="shared" ref="C190:C200" si="6">DATE(RIGHT(B190,4), MATCH(MID(B190,5,3),{"Jan","Feb","Mar","Apr","May","Jun","Jul","Aug","Sep","Oct","Nov","Dec"},0), MID(B190,9,2))</f>
        <v>45322</v>
      </c>
      <c r="D190" s="6" t="str">
        <f t="shared" si="2"/>
        <v>2024-01</v>
      </c>
      <c r="E190" s="13">
        <v>317.0</v>
      </c>
      <c r="F190" s="8">
        <v>3.0</v>
      </c>
      <c r="G190" s="13">
        <v>0.0</v>
      </c>
      <c r="H190" s="7">
        <v>0.0</v>
      </c>
      <c r="I190" s="7">
        <f t="shared" si="4"/>
        <v>0.95</v>
      </c>
      <c r="J190" s="11" t="s">
        <v>390</v>
      </c>
    </row>
    <row r="191">
      <c r="A191" s="12" t="s">
        <v>388</v>
      </c>
      <c r="B191" s="4" t="s">
        <v>391</v>
      </c>
      <c r="C191" s="4">
        <f t="shared" si="6"/>
        <v>45285</v>
      </c>
      <c r="D191" s="6" t="str">
        <f t="shared" si="2"/>
        <v>2023-12</v>
      </c>
      <c r="E191" s="13">
        <v>251.0</v>
      </c>
      <c r="F191" s="8">
        <v>0.0</v>
      </c>
      <c r="G191" s="13">
        <v>0.0</v>
      </c>
      <c r="H191" s="7">
        <v>0.0</v>
      </c>
      <c r="I191" s="7">
        <f t="shared" si="4"/>
        <v>0</v>
      </c>
      <c r="J191" s="11" t="s">
        <v>392</v>
      </c>
    </row>
    <row r="192">
      <c r="A192" s="12" t="s">
        <v>388</v>
      </c>
      <c r="B192" s="4" t="s">
        <v>393</v>
      </c>
      <c r="C192" s="4">
        <f t="shared" si="6"/>
        <v>45284</v>
      </c>
      <c r="D192" s="6" t="str">
        <f t="shared" si="2"/>
        <v>2023-12</v>
      </c>
      <c r="E192" s="13">
        <v>224.0</v>
      </c>
      <c r="F192" s="8">
        <v>1.0</v>
      </c>
      <c r="G192" s="13">
        <v>0.0</v>
      </c>
      <c r="H192" s="7">
        <v>0.0</v>
      </c>
      <c r="I192" s="7">
        <f t="shared" si="4"/>
        <v>0.45</v>
      </c>
      <c r="J192" s="11" t="s">
        <v>394</v>
      </c>
    </row>
    <row r="193">
      <c r="A193" s="12" t="s">
        <v>388</v>
      </c>
      <c r="B193" s="4" t="s">
        <v>395</v>
      </c>
      <c r="C193" s="4">
        <f t="shared" si="6"/>
        <v>45283</v>
      </c>
      <c r="D193" s="6" t="str">
        <f t="shared" si="2"/>
        <v>2023-12</v>
      </c>
      <c r="E193" s="13">
        <v>169.0</v>
      </c>
      <c r="F193" s="8">
        <v>1.0</v>
      </c>
      <c r="G193" s="13">
        <v>0.0</v>
      </c>
      <c r="H193" s="7">
        <v>0.0</v>
      </c>
      <c r="I193" s="7">
        <f t="shared" si="4"/>
        <v>0.59</v>
      </c>
      <c r="J193" s="11" t="s">
        <v>396</v>
      </c>
    </row>
    <row r="194">
      <c r="A194" s="12" t="s">
        <v>388</v>
      </c>
      <c r="B194" s="4" t="s">
        <v>397</v>
      </c>
      <c r="C194" s="4">
        <f t="shared" si="6"/>
        <v>45282</v>
      </c>
      <c r="D194" s="6" t="str">
        <f t="shared" si="2"/>
        <v>2023-12</v>
      </c>
      <c r="E194" s="13">
        <v>165.0</v>
      </c>
      <c r="F194" s="8">
        <v>3.0</v>
      </c>
      <c r="G194" s="13">
        <v>0.0</v>
      </c>
      <c r="H194" s="7">
        <v>0.0</v>
      </c>
      <c r="I194" s="7">
        <f t="shared" si="4"/>
        <v>1.82</v>
      </c>
      <c r="J194" s="11" t="s">
        <v>398</v>
      </c>
    </row>
    <row r="195">
      <c r="A195" s="12" t="s">
        <v>388</v>
      </c>
      <c r="B195" s="4" t="s">
        <v>399</v>
      </c>
      <c r="C195" s="4">
        <f t="shared" si="6"/>
        <v>45274</v>
      </c>
      <c r="D195" s="6" t="str">
        <f t="shared" si="2"/>
        <v>2023-12</v>
      </c>
      <c r="E195" s="13">
        <v>165.0</v>
      </c>
      <c r="F195" s="8">
        <v>2.0</v>
      </c>
      <c r="G195" s="13">
        <v>0.0</v>
      </c>
      <c r="H195" s="7">
        <v>1.0</v>
      </c>
      <c r="I195" s="7">
        <f t="shared" si="4"/>
        <v>1.82</v>
      </c>
      <c r="J195" s="11" t="s">
        <v>400</v>
      </c>
    </row>
    <row r="196">
      <c r="A196" s="12" t="s">
        <v>388</v>
      </c>
      <c r="B196" s="4" t="s">
        <v>401</v>
      </c>
      <c r="C196" s="4">
        <f t="shared" si="6"/>
        <v>45261</v>
      </c>
      <c r="D196" s="6" t="str">
        <f t="shared" si="2"/>
        <v>2023-12</v>
      </c>
      <c r="E196" s="13">
        <v>153.0</v>
      </c>
      <c r="F196" s="8">
        <v>0.0</v>
      </c>
      <c r="G196" s="13">
        <v>0.0</v>
      </c>
      <c r="H196" s="7">
        <v>0.0</v>
      </c>
      <c r="I196" s="7">
        <f t="shared" si="4"/>
        <v>0</v>
      </c>
      <c r="J196" s="11" t="s">
        <v>402</v>
      </c>
    </row>
    <row r="197">
      <c r="A197" s="12" t="s">
        <v>388</v>
      </c>
      <c r="B197" s="4" t="s">
        <v>403</v>
      </c>
      <c r="C197" s="4">
        <f t="shared" si="6"/>
        <v>45261</v>
      </c>
      <c r="D197" s="6" t="str">
        <f t="shared" si="2"/>
        <v>2023-12</v>
      </c>
      <c r="E197" s="13">
        <v>134.0</v>
      </c>
      <c r="F197" s="8">
        <v>1.0</v>
      </c>
      <c r="G197" s="13">
        <v>0.0</v>
      </c>
      <c r="H197" s="7">
        <v>0.0</v>
      </c>
      <c r="I197" s="7">
        <f t="shared" si="4"/>
        <v>0.75</v>
      </c>
      <c r="J197" s="11" t="s">
        <v>404</v>
      </c>
    </row>
    <row r="198">
      <c r="A198" s="12" t="s">
        <v>388</v>
      </c>
      <c r="B198" s="4" t="s">
        <v>405</v>
      </c>
      <c r="C198" s="4">
        <f t="shared" si="6"/>
        <v>45260</v>
      </c>
      <c r="D198" s="6" t="str">
        <f t="shared" si="2"/>
        <v>2023-11</v>
      </c>
      <c r="E198" s="13">
        <v>151.0</v>
      </c>
      <c r="F198" s="8">
        <v>2.0</v>
      </c>
      <c r="G198" s="13">
        <v>0.0</v>
      </c>
      <c r="H198" s="7">
        <v>1.0</v>
      </c>
      <c r="I198" s="7">
        <f t="shared" si="4"/>
        <v>1.99</v>
      </c>
      <c r="J198" s="11" t="s">
        <v>406</v>
      </c>
    </row>
    <row r="199">
      <c r="A199" s="12" t="s">
        <v>388</v>
      </c>
      <c r="B199" s="4" t="s">
        <v>389</v>
      </c>
      <c r="C199" s="4">
        <f t="shared" si="6"/>
        <v>45322</v>
      </c>
      <c r="D199" s="6" t="str">
        <f t="shared" si="2"/>
        <v>2024-01</v>
      </c>
      <c r="E199" s="13">
        <v>316.0</v>
      </c>
      <c r="F199" s="8">
        <v>3.0</v>
      </c>
      <c r="G199" s="13">
        <v>0.0</v>
      </c>
      <c r="H199" s="7">
        <v>0.0</v>
      </c>
      <c r="I199" s="7">
        <f t="shared" si="4"/>
        <v>0.95</v>
      </c>
      <c r="J199" s="11" t="s">
        <v>390</v>
      </c>
    </row>
    <row r="200">
      <c r="A200" s="12" t="s">
        <v>388</v>
      </c>
      <c r="B200" s="4" t="s">
        <v>401</v>
      </c>
      <c r="C200" s="4">
        <f t="shared" si="6"/>
        <v>45261</v>
      </c>
      <c r="D200" s="6" t="str">
        <f t="shared" si="2"/>
        <v>2023-12</v>
      </c>
      <c r="E200" s="13">
        <v>152.0</v>
      </c>
      <c r="F200" s="8">
        <v>0.0</v>
      </c>
      <c r="G200" s="13">
        <v>0.0</v>
      </c>
      <c r="H200" s="7">
        <v>0.0</v>
      </c>
      <c r="I200" s="7">
        <f t="shared" si="4"/>
        <v>0</v>
      </c>
      <c r="J200" s="11" t="s">
        <v>402</v>
      </c>
    </row>
    <row r="201">
      <c r="A201" s="12" t="s">
        <v>407</v>
      </c>
      <c r="B201" s="14" t="s">
        <v>408</v>
      </c>
      <c r="C201" s="14">
        <f t="shared" ref="C201:C204" si="7">DATE(RIGHT(B201,4), MID(B201,4,2), LEFT(B201,2))</f>
        <v>43911</v>
      </c>
      <c r="D201" s="6" t="str">
        <f t="shared" si="2"/>
        <v>2020-03</v>
      </c>
      <c r="E201" s="15">
        <v>14300.0</v>
      </c>
      <c r="F201" s="15">
        <v>8600.0</v>
      </c>
      <c r="G201" s="15">
        <v>141.0</v>
      </c>
      <c r="H201" s="7"/>
      <c r="I201" s="7">
        <f t="shared" si="4"/>
        <v>61.13</v>
      </c>
      <c r="J201" s="11" t="s">
        <v>409</v>
      </c>
    </row>
    <row r="202">
      <c r="A202" s="12" t="s">
        <v>407</v>
      </c>
      <c r="B202" s="14" t="s">
        <v>410</v>
      </c>
      <c r="C202" s="14">
        <f t="shared" si="7"/>
        <v>45869</v>
      </c>
      <c r="D202" s="6" t="str">
        <f t="shared" si="2"/>
        <v>2025-07</v>
      </c>
      <c r="E202" s="13">
        <v>5200.0</v>
      </c>
      <c r="F202" s="8">
        <v>461.0</v>
      </c>
      <c r="G202" s="13">
        <v>2.0</v>
      </c>
      <c r="H202" s="7"/>
      <c r="I202" s="7">
        <f t="shared" si="4"/>
        <v>8.9</v>
      </c>
      <c r="J202" s="11" t="s">
        <v>411</v>
      </c>
    </row>
    <row r="203">
      <c r="A203" s="12" t="s">
        <v>407</v>
      </c>
      <c r="B203" s="14" t="s">
        <v>410</v>
      </c>
      <c r="C203" s="14">
        <f t="shared" si="7"/>
        <v>45869</v>
      </c>
      <c r="D203" s="6" t="str">
        <f t="shared" si="2"/>
        <v>2025-07</v>
      </c>
      <c r="E203" s="13">
        <v>2900.0</v>
      </c>
      <c r="F203" s="8">
        <v>217.0</v>
      </c>
      <c r="G203" s="13">
        <v>1.0</v>
      </c>
      <c r="H203" s="7"/>
      <c r="I203" s="7">
        <f t="shared" si="4"/>
        <v>7.52</v>
      </c>
      <c r="J203" s="11" t="s">
        <v>412</v>
      </c>
    </row>
    <row r="204">
      <c r="A204" s="12" t="s">
        <v>407</v>
      </c>
      <c r="B204" s="14" t="s">
        <v>410</v>
      </c>
      <c r="C204" s="14">
        <f t="shared" si="7"/>
        <v>45869</v>
      </c>
      <c r="D204" s="6" t="str">
        <f t="shared" si="2"/>
        <v>2025-07</v>
      </c>
      <c r="E204" s="13">
        <v>2300.0</v>
      </c>
      <c r="F204" s="8">
        <v>165.0</v>
      </c>
      <c r="G204" s="13">
        <v>1.0</v>
      </c>
      <c r="H204" s="7"/>
      <c r="I204" s="7">
        <f t="shared" si="4"/>
        <v>7.22</v>
      </c>
      <c r="J204" s="11" t="s">
        <v>413</v>
      </c>
    </row>
    <row r="205">
      <c r="A205" s="12" t="s">
        <v>407</v>
      </c>
      <c r="B205" s="14">
        <v>45665.0</v>
      </c>
      <c r="C205" s="14">
        <f>IFERROR(__xludf.DUMMYFUNCTION("DATE(RIGHT(B205,4), INDEX(SPLIT(B205,""/""),2), INDEX(SPLIT(B205,""/""),1))"),45870.0)</f>
        <v>45870</v>
      </c>
      <c r="D205" s="6" t="str">
        <f t="shared" si="2"/>
        <v>2025-08</v>
      </c>
      <c r="E205" s="13">
        <v>2100.0</v>
      </c>
      <c r="F205" s="8">
        <v>135.0</v>
      </c>
      <c r="G205" s="13">
        <v>0.0</v>
      </c>
      <c r="H205" s="7"/>
      <c r="I205" s="7">
        <f t="shared" si="4"/>
        <v>6.43</v>
      </c>
      <c r="J205" s="11" t="s">
        <v>414</v>
      </c>
    </row>
    <row r="206">
      <c r="A206" s="12" t="s">
        <v>407</v>
      </c>
      <c r="B206" s="14">
        <v>45665.0</v>
      </c>
      <c r="C206" s="14">
        <f>IFERROR(__xludf.DUMMYFUNCTION("DATE(RIGHT(B206,4), INDEX(SPLIT(B206,""/""),2), INDEX(SPLIT(B206,""/""),1))"),45870.0)</f>
        <v>45870</v>
      </c>
      <c r="D206" s="6" t="str">
        <f t="shared" si="2"/>
        <v>2025-08</v>
      </c>
      <c r="E206" s="13">
        <v>1300.0</v>
      </c>
      <c r="F206" s="8">
        <v>83.0</v>
      </c>
      <c r="G206" s="13">
        <v>0.0</v>
      </c>
      <c r="H206" s="7"/>
      <c r="I206" s="7">
        <f t="shared" si="4"/>
        <v>6.38</v>
      </c>
      <c r="J206" s="11" t="s">
        <v>415</v>
      </c>
    </row>
    <row r="207">
      <c r="A207" s="12" t="s">
        <v>407</v>
      </c>
      <c r="B207" s="14">
        <v>45846.0</v>
      </c>
      <c r="C207" s="14">
        <f>IFERROR(__xludf.DUMMYFUNCTION("DATE(RIGHT(B207,4), INDEX(SPLIT(B207,""/""),2), INDEX(SPLIT(B207,""/""),1))"),45876.0)</f>
        <v>45876</v>
      </c>
      <c r="D207" s="6" t="str">
        <f t="shared" si="2"/>
        <v>2025-08</v>
      </c>
      <c r="E207" s="13">
        <v>5600.0</v>
      </c>
      <c r="F207" s="8">
        <v>580.0</v>
      </c>
      <c r="G207" s="13">
        <v>5.0</v>
      </c>
      <c r="H207" s="7"/>
      <c r="I207" s="7">
        <f t="shared" si="4"/>
        <v>10.45</v>
      </c>
      <c r="J207" s="11" t="s">
        <v>416</v>
      </c>
    </row>
    <row r="208">
      <c r="A208" s="12" t="s">
        <v>407</v>
      </c>
      <c r="B208" s="14">
        <v>45846.0</v>
      </c>
      <c r="C208" s="14">
        <f>IFERROR(__xludf.DUMMYFUNCTION("DATE(RIGHT(B208,4), INDEX(SPLIT(B208,""/""),2), INDEX(SPLIT(B208,""/""),1))"),45876.0)</f>
        <v>45876</v>
      </c>
      <c r="D208" s="6" t="str">
        <f t="shared" si="2"/>
        <v>2025-08</v>
      </c>
      <c r="E208" s="13">
        <v>3900.0</v>
      </c>
      <c r="F208" s="8">
        <v>269.0</v>
      </c>
      <c r="G208" s="13">
        <v>1.0</v>
      </c>
      <c r="H208" s="7"/>
      <c r="I208" s="7">
        <f t="shared" si="4"/>
        <v>6.92</v>
      </c>
      <c r="J208" s="11" t="s">
        <v>417</v>
      </c>
    </row>
    <row r="209">
      <c r="A209" s="12" t="s">
        <v>407</v>
      </c>
      <c r="B209" s="14">
        <v>45846.0</v>
      </c>
      <c r="C209" s="14">
        <f>IFERROR(__xludf.DUMMYFUNCTION("DATE(RIGHT(B209,4), INDEX(SPLIT(B209,""/""),2), INDEX(SPLIT(B209,""/""),1))"),45876.0)</f>
        <v>45876</v>
      </c>
      <c r="D209" s="6" t="str">
        <f t="shared" si="2"/>
        <v>2025-08</v>
      </c>
      <c r="E209" s="13">
        <v>1900.0</v>
      </c>
      <c r="F209" s="8">
        <v>118.0</v>
      </c>
      <c r="G209" s="13">
        <v>0.0</v>
      </c>
      <c r="H209" s="7"/>
      <c r="I209" s="7">
        <f t="shared" si="4"/>
        <v>6.21</v>
      </c>
      <c r="J209" s="11" t="s">
        <v>418</v>
      </c>
    </row>
    <row r="210">
      <c r="A210" s="12" t="s">
        <v>407</v>
      </c>
      <c r="B210" s="14">
        <v>45846.0</v>
      </c>
      <c r="C210" s="14">
        <f>IFERROR(__xludf.DUMMYFUNCTION("DATE(RIGHT(B210,4), INDEX(SPLIT(B210,""/""),2), INDEX(SPLIT(B210,""/""),1))"),45876.0)</f>
        <v>45876</v>
      </c>
      <c r="D210" s="6" t="str">
        <f t="shared" si="2"/>
        <v>2025-08</v>
      </c>
      <c r="E210" s="13">
        <v>1500.0</v>
      </c>
      <c r="F210" s="8">
        <v>98.0</v>
      </c>
      <c r="G210" s="13">
        <v>0.0</v>
      </c>
      <c r="H210" s="7"/>
      <c r="I210" s="7">
        <f t="shared" si="4"/>
        <v>6.53</v>
      </c>
      <c r="J210" s="11" t="s">
        <v>419</v>
      </c>
    </row>
    <row r="211">
      <c r="A211" s="12" t="s">
        <v>407</v>
      </c>
      <c r="B211" s="14" t="s">
        <v>420</v>
      </c>
      <c r="C211" s="14">
        <f>IFERROR(__xludf.DUMMYFUNCTION("DATE(RIGHT(B211,4), INDEX(SPLIT(B211,""/""),2), INDEX(SPLIT(B211,""/""),1))"),45764.0)</f>
        <v>45764</v>
      </c>
      <c r="D211" s="6" t="str">
        <f t="shared" si="2"/>
        <v>2025-04</v>
      </c>
      <c r="E211" s="13">
        <v>6600.0</v>
      </c>
      <c r="F211" s="8">
        <v>577.0</v>
      </c>
      <c r="G211" s="13">
        <v>4.0</v>
      </c>
      <c r="H211" s="7"/>
      <c r="I211" s="7">
        <f t="shared" si="4"/>
        <v>8.8</v>
      </c>
      <c r="J211" s="11" t="s">
        <v>421</v>
      </c>
    </row>
    <row r="212">
      <c r="A212" s="12" t="s">
        <v>407</v>
      </c>
      <c r="B212" s="14">
        <v>45934.0</v>
      </c>
      <c r="C212" s="14">
        <f>IFERROR(__xludf.DUMMYFUNCTION("DATE(RIGHT(B212,4), INDEX(SPLIT(B212,""/""),2), INDEX(SPLIT(B212,""/""),1))"),45757.0)</f>
        <v>45757</v>
      </c>
      <c r="D212" s="6" t="str">
        <f t="shared" si="2"/>
        <v>2025-04</v>
      </c>
      <c r="E212" s="13">
        <v>4300.0</v>
      </c>
      <c r="F212" s="8">
        <v>351.0</v>
      </c>
      <c r="G212" s="13">
        <v>2.0</v>
      </c>
      <c r="H212" s="7"/>
      <c r="I212" s="7">
        <f t="shared" si="4"/>
        <v>8.21</v>
      </c>
      <c r="J212" s="11" t="s">
        <v>422</v>
      </c>
    </row>
    <row r="213">
      <c r="A213" s="12" t="s">
        <v>407</v>
      </c>
      <c r="B213" s="14">
        <v>45873.0</v>
      </c>
      <c r="C213" s="14">
        <f>IFERROR(__xludf.DUMMYFUNCTION("DATE(RIGHT(B213,4), INDEX(SPLIT(B213,""/""),2), INDEX(SPLIT(B213,""/""),1))"),45755.0)</f>
        <v>45755</v>
      </c>
      <c r="D213" s="6" t="str">
        <f t="shared" si="2"/>
        <v>2025-04</v>
      </c>
      <c r="E213" s="13">
        <v>4100.0</v>
      </c>
      <c r="F213" s="8">
        <v>287.0</v>
      </c>
      <c r="G213" s="13">
        <v>2.0</v>
      </c>
      <c r="H213" s="7"/>
      <c r="I213" s="7">
        <f t="shared" si="4"/>
        <v>7.05</v>
      </c>
      <c r="J213" s="11" t="s">
        <v>423</v>
      </c>
    </row>
    <row r="214">
      <c r="A214" s="12" t="s">
        <v>407</v>
      </c>
      <c r="B214" s="14" t="s">
        <v>424</v>
      </c>
      <c r="C214" s="14">
        <f>IFERROR(__xludf.DUMMYFUNCTION("DATE(RIGHT(B214,4), INDEX(SPLIT(B214,""/""),2), INDEX(SPLIT(B214,""/""),1))"),45762.0)</f>
        <v>45762</v>
      </c>
      <c r="D214" s="6" t="str">
        <f t="shared" si="2"/>
        <v>2025-04</v>
      </c>
      <c r="E214" s="13">
        <v>3400.0</v>
      </c>
      <c r="F214" s="8">
        <v>269.0</v>
      </c>
      <c r="G214" s="13">
        <v>0.0</v>
      </c>
      <c r="H214" s="7"/>
      <c r="I214" s="7">
        <f t="shared" si="4"/>
        <v>7.91</v>
      </c>
      <c r="J214" s="11" t="s">
        <v>425</v>
      </c>
    </row>
    <row r="215">
      <c r="A215" s="12" t="s">
        <v>407</v>
      </c>
      <c r="B215" s="14">
        <v>45810.0</v>
      </c>
      <c r="C215" s="14">
        <f>IFERROR(__xludf.DUMMYFUNCTION("DATE(RIGHT(B215,4), INDEX(SPLIT(B215,""/""),2), INDEX(SPLIT(B215,""/""),1))"),45694.0)</f>
        <v>45694</v>
      </c>
      <c r="D215" s="6" t="str">
        <f t="shared" si="2"/>
        <v>2025-02</v>
      </c>
      <c r="E215" s="13">
        <v>7000.0</v>
      </c>
      <c r="F215" s="8">
        <v>586.0</v>
      </c>
      <c r="G215" s="13">
        <v>1.0</v>
      </c>
      <c r="H215" s="7"/>
      <c r="I215" s="7">
        <f t="shared" si="4"/>
        <v>8.39</v>
      </c>
      <c r="J215" s="11" t="s">
        <v>426</v>
      </c>
    </row>
    <row r="216">
      <c r="A216" s="12" t="s">
        <v>407</v>
      </c>
      <c r="B216" s="14">
        <v>45810.0</v>
      </c>
      <c r="C216" s="14">
        <f>IFERROR(__xludf.DUMMYFUNCTION("DATE(RIGHT(B216,4), INDEX(SPLIT(B216,""/""),2), INDEX(SPLIT(B216,""/""),1))"),45694.0)</f>
        <v>45694</v>
      </c>
      <c r="D216" s="6" t="str">
        <f t="shared" si="2"/>
        <v>2025-02</v>
      </c>
      <c r="E216" s="13">
        <v>8300.0</v>
      </c>
      <c r="F216" s="8">
        <v>843.0</v>
      </c>
      <c r="G216" s="13">
        <v>4.0</v>
      </c>
      <c r="H216" s="7"/>
      <c r="I216" s="7">
        <f t="shared" si="4"/>
        <v>10.2</v>
      </c>
      <c r="J216" s="11" t="s">
        <v>427</v>
      </c>
    </row>
    <row r="217">
      <c r="A217" s="12" t="s">
        <v>407</v>
      </c>
      <c r="B217" s="14" t="s">
        <v>428</v>
      </c>
      <c r="C217" s="14">
        <f>IFERROR(__xludf.DUMMYFUNCTION("DATE(RIGHT(B217,4), INDEX(SPLIT(B217,""/""),2), INDEX(SPLIT(B217,""/""),1))"),45862.0)</f>
        <v>45862</v>
      </c>
      <c r="D217" s="6" t="str">
        <f t="shared" si="2"/>
        <v>2025-07</v>
      </c>
      <c r="E217" s="13">
        <v>8900.0</v>
      </c>
      <c r="F217" s="8">
        <v>846.0</v>
      </c>
      <c r="G217" s="13">
        <v>2.0</v>
      </c>
      <c r="H217" s="7"/>
      <c r="I217" s="7">
        <f t="shared" si="4"/>
        <v>9.53</v>
      </c>
      <c r="J217" s="11" t="s">
        <v>429</v>
      </c>
    </row>
    <row r="218">
      <c r="A218" s="12" t="s">
        <v>407</v>
      </c>
      <c r="B218" s="14">
        <v>45997.0</v>
      </c>
      <c r="C218" s="14">
        <f>IFERROR(__xludf.DUMMYFUNCTION("DATE(RIGHT(B218,4), INDEX(SPLIT(B218,""/""),2), INDEX(SPLIT(B218,""/""),1))"),45820.0)</f>
        <v>45820</v>
      </c>
      <c r="D218" s="6" t="str">
        <f t="shared" si="2"/>
        <v>2025-06</v>
      </c>
      <c r="E218" s="13">
        <v>9600.0</v>
      </c>
      <c r="F218" s="8">
        <v>592.0</v>
      </c>
      <c r="G218" s="13">
        <v>4.0</v>
      </c>
      <c r="H218" s="7"/>
      <c r="I218" s="7">
        <f t="shared" si="4"/>
        <v>6.21</v>
      </c>
      <c r="J218" s="11" t="s">
        <v>430</v>
      </c>
    </row>
    <row r="219">
      <c r="A219" s="12" t="s">
        <v>407</v>
      </c>
      <c r="B219" s="14">
        <v>45997.0</v>
      </c>
      <c r="C219" s="14">
        <f>IFERROR(__xludf.DUMMYFUNCTION("DATE(RIGHT(B219,4), INDEX(SPLIT(B219,""/""),2), INDEX(SPLIT(B219,""/""),1))"),45820.0)</f>
        <v>45820</v>
      </c>
      <c r="D219" s="6" t="str">
        <f t="shared" si="2"/>
        <v>2025-06</v>
      </c>
      <c r="E219" s="13">
        <v>4400.0</v>
      </c>
      <c r="F219" s="8">
        <v>388.0</v>
      </c>
      <c r="G219" s="13">
        <v>1.0</v>
      </c>
      <c r="H219" s="7"/>
      <c r="I219" s="7">
        <f t="shared" si="4"/>
        <v>8.84</v>
      </c>
      <c r="J219" s="11" t="s">
        <v>431</v>
      </c>
    </row>
    <row r="220">
      <c r="A220" s="12" t="s">
        <v>407</v>
      </c>
      <c r="B220" s="14">
        <v>45997.0</v>
      </c>
      <c r="C220" s="14">
        <f>IFERROR(__xludf.DUMMYFUNCTION("DATE(RIGHT(B220,4), INDEX(SPLIT(B220,""/""),2), INDEX(SPLIT(B220,""/""),1))"),45820.0)</f>
        <v>45820</v>
      </c>
      <c r="D220" s="6" t="str">
        <f t="shared" si="2"/>
        <v>2025-06</v>
      </c>
      <c r="E220" s="13">
        <v>8200.0</v>
      </c>
      <c r="F220" s="8">
        <v>780.0</v>
      </c>
      <c r="G220" s="13">
        <v>4.0</v>
      </c>
      <c r="H220" s="7"/>
      <c r="I220" s="7">
        <f t="shared" si="4"/>
        <v>9.56</v>
      </c>
      <c r="J220" s="11" t="s">
        <v>432</v>
      </c>
    </row>
    <row r="221">
      <c r="A221" s="12" t="s">
        <v>407</v>
      </c>
      <c r="B221" s="14">
        <v>46026.0</v>
      </c>
      <c r="C221" s="14">
        <f>IFERROR(__xludf.DUMMYFUNCTION("DATE(RIGHT(B221,4), INDEX(SPLIT(B221,""/""),2), INDEX(SPLIT(B221,""/""),1))"),46113.0)</f>
        <v>46113</v>
      </c>
      <c r="D221" s="6" t="str">
        <f t="shared" si="2"/>
        <v>2026-04</v>
      </c>
      <c r="E221" s="13">
        <v>2800.0</v>
      </c>
      <c r="F221" s="8">
        <v>303.0</v>
      </c>
      <c r="G221" s="13">
        <v>2.0</v>
      </c>
      <c r="H221" s="7"/>
      <c r="I221" s="7">
        <f t="shared" si="4"/>
        <v>10.89</v>
      </c>
      <c r="J221" s="11" t="s">
        <v>433</v>
      </c>
    </row>
    <row r="222">
      <c r="A222" s="12" t="s">
        <v>407</v>
      </c>
      <c r="B222" s="14">
        <v>46026.0</v>
      </c>
      <c r="C222" s="14">
        <f>IFERROR(__xludf.DUMMYFUNCTION("DATE(RIGHT(B222,4), INDEX(SPLIT(B222,""/""),2), INDEX(SPLIT(B222,""/""),1))"),46113.0)</f>
        <v>46113</v>
      </c>
      <c r="D222" s="6" t="str">
        <f t="shared" si="2"/>
        <v>2026-04</v>
      </c>
      <c r="E222" s="13">
        <v>1500.0</v>
      </c>
      <c r="F222" s="8">
        <v>148.0</v>
      </c>
      <c r="G222" s="13">
        <v>3.0</v>
      </c>
      <c r="H222" s="7"/>
      <c r="I222" s="7">
        <f t="shared" si="4"/>
        <v>10.07</v>
      </c>
      <c r="J222" s="11" t="s">
        <v>434</v>
      </c>
    </row>
    <row r="223">
      <c r="A223" s="12" t="s">
        <v>407</v>
      </c>
      <c r="B223" s="14" t="s">
        <v>435</v>
      </c>
      <c r="C223" s="14">
        <f>IFERROR(__xludf.DUMMYFUNCTION("DATE(RIGHT(B223,4), INDEX(SPLIT(B223,""/""),2), INDEX(SPLIT(B223,""/""),1))"),46111.0)</f>
        <v>46111</v>
      </c>
      <c r="D223" s="6" t="str">
        <f t="shared" si="2"/>
        <v>2026-03</v>
      </c>
      <c r="E223" s="13">
        <v>1500.0</v>
      </c>
      <c r="F223" s="8">
        <v>170.0</v>
      </c>
      <c r="G223" s="13">
        <v>0.0</v>
      </c>
      <c r="H223" s="7"/>
      <c r="I223" s="7">
        <f t="shared" si="4"/>
        <v>11.33</v>
      </c>
      <c r="J223" s="11" t="s">
        <v>436</v>
      </c>
    </row>
    <row r="224">
      <c r="A224" s="12" t="s">
        <v>407</v>
      </c>
      <c r="B224" s="14" t="s">
        <v>435</v>
      </c>
      <c r="C224" s="14">
        <f>IFERROR(__xludf.DUMMYFUNCTION("DATE(RIGHT(B224,4), INDEX(SPLIT(B224,""/""),2), INDEX(SPLIT(B224,""/""),1))"),46111.0)</f>
        <v>46111</v>
      </c>
      <c r="D224" s="6" t="str">
        <f t="shared" si="2"/>
        <v>2026-03</v>
      </c>
      <c r="E224" s="13">
        <v>1200.0</v>
      </c>
      <c r="F224" s="8">
        <v>107.0</v>
      </c>
      <c r="G224" s="13">
        <v>0.0</v>
      </c>
      <c r="H224" s="7"/>
      <c r="I224" s="7">
        <f t="shared" si="4"/>
        <v>8.92</v>
      </c>
      <c r="J224" s="11" t="s">
        <v>437</v>
      </c>
    </row>
    <row r="225">
      <c r="A225" s="12" t="s">
        <v>407</v>
      </c>
      <c r="B225" s="14">
        <v>46175.0</v>
      </c>
      <c r="C225" s="14">
        <f>IFERROR(__xludf.DUMMYFUNCTION("DATE(RIGHT(B225,4), INDEX(SPLIT(B225,""/""),2), INDEX(SPLIT(B225,""/""),1))"),46059.0)</f>
        <v>46059</v>
      </c>
      <c r="D225" s="6" t="str">
        <f t="shared" si="2"/>
        <v>2026-02</v>
      </c>
      <c r="E225" s="13">
        <v>1700.0</v>
      </c>
      <c r="F225" s="8">
        <v>170.0</v>
      </c>
      <c r="G225" s="13">
        <v>2.0</v>
      </c>
      <c r="H225" s="7"/>
      <c r="I225" s="7">
        <f t="shared" si="4"/>
        <v>10.12</v>
      </c>
      <c r="J225" s="11" t="s">
        <v>438</v>
      </c>
    </row>
    <row r="226">
      <c r="A226" s="12" t="s">
        <v>407</v>
      </c>
      <c r="B226" s="14">
        <v>45994.0</v>
      </c>
      <c r="C226" s="14">
        <f>IFERROR(__xludf.DUMMYFUNCTION("DATE(RIGHT(B226,4), INDEX(SPLIT(B226,""/""),2), INDEX(SPLIT(B226,""/""),1))"),45728.0)</f>
        <v>45728</v>
      </c>
      <c r="D226" s="6" t="str">
        <f t="shared" si="2"/>
        <v>2025-03</v>
      </c>
      <c r="E226" s="13">
        <v>3600.0</v>
      </c>
      <c r="F226" s="8">
        <v>292.0</v>
      </c>
      <c r="G226" s="13">
        <v>3.0</v>
      </c>
      <c r="H226" s="7"/>
      <c r="I226" s="7">
        <f t="shared" si="4"/>
        <v>8.19</v>
      </c>
      <c r="J226" s="11" t="s">
        <v>439</v>
      </c>
    </row>
    <row r="227">
      <c r="A227" s="12" t="s">
        <v>407</v>
      </c>
      <c r="B227" s="14">
        <v>45964.0</v>
      </c>
      <c r="C227" s="14">
        <f>IFERROR(__xludf.DUMMYFUNCTION("DATE(RIGHT(B227,4), INDEX(SPLIT(B227,""/""),2), INDEX(SPLIT(B227,""/""),1))"),45727.0)</f>
        <v>45727</v>
      </c>
      <c r="D227" s="6" t="str">
        <f t="shared" si="2"/>
        <v>2025-03</v>
      </c>
      <c r="E227" s="13">
        <v>5400.0</v>
      </c>
      <c r="F227" s="8">
        <v>456.0</v>
      </c>
      <c r="G227" s="13">
        <v>4.0</v>
      </c>
      <c r="H227" s="7"/>
      <c r="I227" s="7">
        <f t="shared" si="4"/>
        <v>8.52</v>
      </c>
      <c r="J227" s="11" t="s">
        <v>439</v>
      </c>
    </row>
    <row r="228">
      <c r="A228" s="12" t="s">
        <v>407</v>
      </c>
      <c r="B228" s="14">
        <v>45994.0</v>
      </c>
      <c r="C228" s="14">
        <f>IFERROR(__xludf.DUMMYFUNCTION("DATE(RIGHT(B228,4), INDEX(SPLIT(B228,""/""),2), INDEX(SPLIT(B228,""/""),1))"),45728.0)</f>
        <v>45728</v>
      </c>
      <c r="D228" s="6" t="str">
        <f t="shared" si="2"/>
        <v>2025-03</v>
      </c>
      <c r="E228" s="13">
        <v>4100.0</v>
      </c>
      <c r="F228" s="8">
        <v>400.0</v>
      </c>
      <c r="G228" s="13">
        <v>1.0</v>
      </c>
      <c r="H228" s="7"/>
      <c r="I228" s="7">
        <f t="shared" si="4"/>
        <v>9.78</v>
      </c>
      <c r="J228" s="11" t="s">
        <v>440</v>
      </c>
    </row>
    <row r="229">
      <c r="A229" s="12" t="s">
        <v>407</v>
      </c>
      <c r="B229" s="14">
        <v>45964.0</v>
      </c>
      <c r="C229" s="14">
        <f>IFERROR(__xludf.DUMMYFUNCTION("DATE(RIGHT(B229,4), INDEX(SPLIT(B229,""/""),2), INDEX(SPLIT(B229,""/""),1))"),45727.0)</f>
        <v>45727</v>
      </c>
      <c r="D229" s="6" t="str">
        <f t="shared" si="2"/>
        <v>2025-03</v>
      </c>
      <c r="E229" s="13">
        <v>4200.0</v>
      </c>
      <c r="F229" s="8">
        <v>306.0</v>
      </c>
      <c r="G229" s="13">
        <v>2.0</v>
      </c>
      <c r="H229" s="7"/>
      <c r="I229" s="7">
        <f t="shared" si="4"/>
        <v>7.33</v>
      </c>
      <c r="J229" s="11" t="s">
        <v>441</v>
      </c>
    </row>
    <row r="230">
      <c r="A230" s="12" t="s">
        <v>407</v>
      </c>
      <c r="B230" s="14">
        <v>45964.0</v>
      </c>
      <c r="C230" s="14">
        <f>IFERROR(__xludf.DUMMYFUNCTION("DATE(RIGHT(B230,4), INDEX(SPLIT(B230,""/""),2), INDEX(SPLIT(B230,""/""),1))"),45727.0)</f>
        <v>45727</v>
      </c>
      <c r="D230" s="6" t="str">
        <f t="shared" si="2"/>
        <v>2025-03</v>
      </c>
      <c r="E230" s="13">
        <v>4300.0</v>
      </c>
      <c r="F230" s="8">
        <v>292.0</v>
      </c>
      <c r="G230" s="13">
        <v>0.0</v>
      </c>
      <c r="H230" s="7"/>
      <c r="I230" s="7">
        <f t="shared" si="4"/>
        <v>6.79</v>
      </c>
      <c r="J230" s="11" t="s">
        <v>442</v>
      </c>
    </row>
    <row r="231">
      <c r="A231" s="12" t="s">
        <v>407</v>
      </c>
      <c r="B231" s="14" t="s">
        <v>443</v>
      </c>
      <c r="C231" s="14">
        <f>IFERROR(__xludf.DUMMYFUNCTION("DATE(RIGHT(B231,4), INDEX(SPLIT(B231,""/""),2), INDEX(SPLIT(B231,""/""),1))"),45734.0)</f>
        <v>45734</v>
      </c>
      <c r="D231" s="6" t="str">
        <f t="shared" si="2"/>
        <v>2025-03</v>
      </c>
      <c r="E231" s="13">
        <v>2800.0</v>
      </c>
      <c r="F231" s="8">
        <v>181.0</v>
      </c>
      <c r="G231" s="13">
        <v>1.0</v>
      </c>
      <c r="H231" s="7"/>
      <c r="I231" s="7">
        <f t="shared" si="4"/>
        <v>6.5</v>
      </c>
      <c r="J231" s="11" t="s">
        <v>444</v>
      </c>
    </row>
    <row r="232">
      <c r="A232" s="12" t="s">
        <v>407</v>
      </c>
      <c r="B232" s="14" t="s">
        <v>445</v>
      </c>
      <c r="C232" s="14">
        <f>IFERROR(__xludf.DUMMYFUNCTION("DATE(RIGHT(B232,4), INDEX(SPLIT(B232,""/""),2), INDEX(SPLIT(B232,""/""),1))"),45733.0)</f>
        <v>45733</v>
      </c>
      <c r="D232" s="6" t="str">
        <f t="shared" si="2"/>
        <v>2025-03</v>
      </c>
      <c r="E232" s="13">
        <v>3000.0</v>
      </c>
      <c r="F232" s="8">
        <v>174.0</v>
      </c>
      <c r="G232" s="13">
        <v>0.0</v>
      </c>
      <c r="H232" s="7"/>
      <c r="I232" s="7">
        <f t="shared" si="4"/>
        <v>5.8</v>
      </c>
      <c r="J232" s="11" t="s">
        <v>446</v>
      </c>
    </row>
    <row r="233">
      <c r="A233" s="12" t="s">
        <v>407</v>
      </c>
      <c r="B233" s="14" t="s">
        <v>445</v>
      </c>
      <c r="C233" s="14">
        <f>IFERROR(__xludf.DUMMYFUNCTION("DATE(RIGHT(B233,4), INDEX(SPLIT(B233,""/""),2), INDEX(SPLIT(B233,""/""),1))"),45733.0)</f>
        <v>45733</v>
      </c>
      <c r="D233" s="6" t="str">
        <f t="shared" si="2"/>
        <v>2025-03</v>
      </c>
      <c r="E233" s="13">
        <v>2500.0</v>
      </c>
      <c r="F233" s="8">
        <v>188.0</v>
      </c>
      <c r="G233" s="13">
        <v>0.0</v>
      </c>
      <c r="H233" s="7"/>
      <c r="I233" s="7">
        <f t="shared" si="4"/>
        <v>7.52</v>
      </c>
      <c r="J233" s="11" t="s">
        <v>447</v>
      </c>
    </row>
    <row r="234">
      <c r="A234" s="12" t="s">
        <v>407</v>
      </c>
      <c r="B234" s="14" t="s">
        <v>443</v>
      </c>
      <c r="C234" s="14">
        <f>IFERROR(__xludf.DUMMYFUNCTION("DATE(RIGHT(B234,4), INDEX(SPLIT(B234,""/""),2), INDEX(SPLIT(B234,""/""),1))"),45734.0)</f>
        <v>45734</v>
      </c>
      <c r="D234" s="6" t="str">
        <f t="shared" si="2"/>
        <v>2025-03</v>
      </c>
      <c r="E234" s="13">
        <v>2100.0</v>
      </c>
      <c r="F234" s="8">
        <v>130.0</v>
      </c>
      <c r="G234" s="13">
        <v>0.0</v>
      </c>
      <c r="H234" s="7"/>
      <c r="I234" s="7">
        <f t="shared" si="4"/>
        <v>6.19</v>
      </c>
      <c r="J234" s="11" t="s">
        <v>448</v>
      </c>
    </row>
    <row r="235">
      <c r="A235" s="12" t="s">
        <v>407</v>
      </c>
      <c r="B235" s="14" t="s">
        <v>449</v>
      </c>
      <c r="C235" s="14">
        <f>IFERROR(__xludf.DUMMYFUNCTION("DATE(RIGHT(B235,4), INDEX(SPLIT(B235,""/""),2), INDEX(SPLIT(B235,""/""),1))"),45729.0)</f>
        <v>45729</v>
      </c>
      <c r="D235" s="6" t="str">
        <f t="shared" si="2"/>
        <v>2025-03</v>
      </c>
      <c r="E235" s="13">
        <v>1900.0</v>
      </c>
      <c r="F235" s="8">
        <v>133.0</v>
      </c>
      <c r="G235" s="13">
        <v>0.0</v>
      </c>
      <c r="H235" s="7"/>
      <c r="I235" s="7">
        <f t="shared" si="4"/>
        <v>7</v>
      </c>
      <c r="J235" s="11" t="s">
        <v>450</v>
      </c>
    </row>
    <row r="236">
      <c r="A236" s="12" t="s">
        <v>407</v>
      </c>
      <c r="B236" s="14" t="s">
        <v>451</v>
      </c>
      <c r="C236" s="14">
        <f>IFERROR(__xludf.DUMMYFUNCTION("DATE(RIGHT(B236,4), INDEX(SPLIT(B236,""/""),2), INDEX(SPLIT(B236,""/""),1))"),45744.0)</f>
        <v>45744</v>
      </c>
      <c r="D236" s="6" t="str">
        <f t="shared" si="2"/>
        <v>2025-03</v>
      </c>
      <c r="E236" s="13">
        <v>2300.0</v>
      </c>
      <c r="F236" s="8">
        <v>137.0</v>
      </c>
      <c r="G236" s="13">
        <v>1.0</v>
      </c>
      <c r="H236" s="7"/>
      <c r="I236" s="7">
        <f t="shared" si="4"/>
        <v>6</v>
      </c>
      <c r="J236" s="11" t="s">
        <v>452</v>
      </c>
    </row>
    <row r="237">
      <c r="A237" s="12" t="s">
        <v>407</v>
      </c>
      <c r="B237" s="14" t="s">
        <v>453</v>
      </c>
      <c r="C237" s="14">
        <f>IFERROR(__xludf.DUMMYFUNCTION("DATE(RIGHT(B237,4), INDEX(SPLIT(B237,""/""),2), INDEX(SPLIT(B237,""/""),1))"),45745.0)</f>
        <v>45745</v>
      </c>
      <c r="D237" s="6" t="str">
        <f t="shared" si="2"/>
        <v>2025-03</v>
      </c>
      <c r="E237" s="13">
        <v>2400.0</v>
      </c>
      <c r="F237" s="8">
        <v>121.0</v>
      </c>
      <c r="G237" s="13">
        <v>0.0</v>
      </c>
      <c r="H237" s="7"/>
      <c r="I237" s="7">
        <f t="shared" si="4"/>
        <v>5.04</v>
      </c>
      <c r="J237" s="11" t="s">
        <v>454</v>
      </c>
    </row>
    <row r="238">
      <c r="A238" s="12" t="s">
        <v>407</v>
      </c>
      <c r="B238" s="14" t="s">
        <v>453</v>
      </c>
      <c r="C238" s="14">
        <f>IFERROR(__xludf.DUMMYFUNCTION("DATE(RIGHT(B238,4), INDEX(SPLIT(B238,""/""),2), INDEX(SPLIT(B238,""/""),1))"),45745.0)</f>
        <v>45745</v>
      </c>
      <c r="D238" s="6" t="str">
        <f t="shared" si="2"/>
        <v>2025-03</v>
      </c>
      <c r="E238" s="13">
        <v>1200.0</v>
      </c>
      <c r="F238" s="8">
        <v>57.0</v>
      </c>
      <c r="G238" s="13">
        <v>0.0</v>
      </c>
      <c r="H238" s="7"/>
      <c r="I238" s="7">
        <f t="shared" si="4"/>
        <v>4.75</v>
      </c>
      <c r="J238" s="11" t="s">
        <v>455</v>
      </c>
    </row>
    <row r="239">
      <c r="A239" s="12" t="s">
        <v>407</v>
      </c>
      <c r="B239" s="14" t="s">
        <v>451</v>
      </c>
      <c r="C239" s="14">
        <f>IFERROR(__xludf.DUMMYFUNCTION("DATE(RIGHT(B239,4), INDEX(SPLIT(B239,""/""),2), INDEX(SPLIT(B239,""/""),1))"),45744.0)</f>
        <v>45744</v>
      </c>
      <c r="D239" s="6" t="str">
        <f t="shared" si="2"/>
        <v>2025-03</v>
      </c>
      <c r="E239" s="13">
        <v>1700.0</v>
      </c>
      <c r="F239" s="8">
        <v>87.0</v>
      </c>
      <c r="G239" s="13">
        <v>0.0</v>
      </c>
      <c r="H239" s="7"/>
      <c r="I239" s="7">
        <f t="shared" si="4"/>
        <v>5.12</v>
      </c>
      <c r="J239" s="11" t="s">
        <v>456</v>
      </c>
    </row>
    <row r="240">
      <c r="A240" s="12" t="s">
        <v>407</v>
      </c>
      <c r="B240" s="14">
        <v>45661.0</v>
      </c>
      <c r="C240" s="14">
        <f>IFERROR(__xludf.DUMMYFUNCTION("DATE(RIGHT(B240,4), INDEX(SPLIT(B240,""/""),2), INDEX(SPLIT(B240,""/""),1))"),45748.0)</f>
        <v>45748</v>
      </c>
      <c r="D240" s="6" t="str">
        <f t="shared" si="2"/>
        <v>2025-04</v>
      </c>
      <c r="E240" s="13">
        <v>2100.0</v>
      </c>
      <c r="F240" s="8">
        <v>93.0</v>
      </c>
      <c r="G240" s="13">
        <v>1.0</v>
      </c>
      <c r="H240" s="7"/>
      <c r="I240" s="7">
        <f t="shared" si="4"/>
        <v>4.48</v>
      </c>
      <c r="J240" s="11" t="s">
        <v>457</v>
      </c>
    </row>
    <row r="241">
      <c r="A241" s="12" t="s">
        <v>407</v>
      </c>
      <c r="B241" s="14">
        <v>45661.0</v>
      </c>
      <c r="C241" s="14">
        <f>IFERROR(__xludf.DUMMYFUNCTION("DATE(RIGHT(B241,4), INDEX(SPLIT(B241,""/""),2), INDEX(SPLIT(B241,""/""),1))"),45748.0)</f>
        <v>45748</v>
      </c>
      <c r="D241" s="6" t="str">
        <f t="shared" si="2"/>
        <v>2025-04</v>
      </c>
      <c r="E241" s="13">
        <v>1700.0</v>
      </c>
      <c r="F241" s="8">
        <v>83.0</v>
      </c>
      <c r="G241" s="13">
        <v>0.0</v>
      </c>
      <c r="H241" s="7"/>
      <c r="I241" s="7">
        <f t="shared" si="4"/>
        <v>4.88</v>
      </c>
      <c r="J241" s="11" t="s">
        <v>458</v>
      </c>
    </row>
    <row r="242">
      <c r="A242" s="12" t="s">
        <v>407</v>
      </c>
      <c r="B242" s="14">
        <v>45661.0</v>
      </c>
      <c r="C242" s="14">
        <f>IFERROR(__xludf.DUMMYFUNCTION("DATE(RIGHT(B242,4), INDEX(SPLIT(B242,""/""),2), INDEX(SPLIT(B242,""/""),1))"),45748.0)</f>
        <v>45748</v>
      </c>
      <c r="D242" s="6" t="str">
        <f t="shared" si="2"/>
        <v>2025-04</v>
      </c>
      <c r="E242" s="13">
        <v>1100.0</v>
      </c>
      <c r="F242" s="8">
        <v>64.0</v>
      </c>
      <c r="G242" s="13">
        <v>0.0</v>
      </c>
      <c r="H242" s="7"/>
      <c r="I242" s="7">
        <f t="shared" si="4"/>
        <v>5.82</v>
      </c>
      <c r="J242" s="11" t="s">
        <v>459</v>
      </c>
    </row>
    <row r="243">
      <c r="A243" s="12" t="s">
        <v>407</v>
      </c>
      <c r="B243" s="14">
        <v>45692.0</v>
      </c>
      <c r="C243" s="14">
        <f>IFERROR(__xludf.DUMMYFUNCTION("DATE(RIGHT(B243,4), INDEX(SPLIT(B243,""/""),2), INDEX(SPLIT(B243,""/""),1))"),45749.0)</f>
        <v>45749</v>
      </c>
      <c r="D243" s="6" t="str">
        <f t="shared" si="2"/>
        <v>2025-04</v>
      </c>
      <c r="E243" s="13">
        <v>1100.0</v>
      </c>
      <c r="F243" s="8">
        <v>80.0</v>
      </c>
      <c r="G243" s="13">
        <v>0.0</v>
      </c>
      <c r="H243" s="7"/>
      <c r="I243" s="7">
        <f t="shared" si="4"/>
        <v>7.27</v>
      </c>
      <c r="J243" s="11" t="s">
        <v>460</v>
      </c>
    </row>
    <row r="244">
      <c r="A244" s="12" t="s">
        <v>407</v>
      </c>
      <c r="B244" s="14">
        <v>45720.0</v>
      </c>
      <c r="C244" s="14">
        <f>IFERROR(__xludf.DUMMYFUNCTION("DATE(RIGHT(B244,4), INDEX(SPLIT(B244,""/""),2), INDEX(SPLIT(B244,""/""),1))"),45750.0)</f>
        <v>45750</v>
      </c>
      <c r="D244" s="6" t="str">
        <f t="shared" si="2"/>
        <v>2025-04</v>
      </c>
      <c r="E244" s="13">
        <v>1200.0</v>
      </c>
      <c r="F244" s="8">
        <v>80.0</v>
      </c>
      <c r="G244" s="13">
        <v>0.0</v>
      </c>
      <c r="H244" s="7"/>
      <c r="I244" s="7">
        <f t="shared" si="4"/>
        <v>6.67</v>
      </c>
      <c r="J244" s="11" t="s">
        <v>461</v>
      </c>
    </row>
    <row r="245">
      <c r="A245" s="12" t="s">
        <v>407</v>
      </c>
      <c r="B245" s="14">
        <v>45751.0</v>
      </c>
      <c r="C245" s="14">
        <f>IFERROR(__xludf.DUMMYFUNCTION("DATE(RIGHT(B245,4), INDEX(SPLIT(B245,""/""),2), INDEX(SPLIT(B245,""/""),1))"),45751.0)</f>
        <v>45751</v>
      </c>
      <c r="D245" s="6" t="str">
        <f t="shared" si="2"/>
        <v>2025-04</v>
      </c>
      <c r="E245" s="13">
        <v>827.0</v>
      </c>
      <c r="F245" s="8">
        <v>69.0</v>
      </c>
      <c r="G245" s="13">
        <v>0.0</v>
      </c>
      <c r="H245" s="7"/>
      <c r="I245" s="7">
        <f t="shared" si="4"/>
        <v>8.34</v>
      </c>
      <c r="J245" s="11" t="s">
        <v>462</v>
      </c>
    </row>
    <row r="246">
      <c r="A246" s="12" t="s">
        <v>407</v>
      </c>
      <c r="B246" s="14">
        <v>45692.0</v>
      </c>
      <c r="C246" s="14">
        <f>IFERROR(__xludf.DUMMYFUNCTION("DATE(RIGHT(B246,4), INDEX(SPLIT(B246,""/""),2), INDEX(SPLIT(B246,""/""),1))"),45749.0)</f>
        <v>45749</v>
      </c>
      <c r="D246" s="6" t="str">
        <f t="shared" si="2"/>
        <v>2025-04</v>
      </c>
      <c r="E246" s="13">
        <v>925.0</v>
      </c>
      <c r="F246" s="8">
        <v>58.0</v>
      </c>
      <c r="G246" s="13">
        <v>0.0</v>
      </c>
      <c r="H246" s="7"/>
      <c r="I246" s="7">
        <f t="shared" si="4"/>
        <v>6.27</v>
      </c>
      <c r="J246" s="11" t="s">
        <v>463</v>
      </c>
    </row>
    <row r="247">
      <c r="A247" s="12" t="s">
        <v>407</v>
      </c>
      <c r="B247" s="14">
        <v>45751.0</v>
      </c>
      <c r="C247" s="14">
        <f>IFERROR(__xludf.DUMMYFUNCTION("DATE(RIGHT(B247,4), INDEX(SPLIT(B247,""/""),2), INDEX(SPLIT(B247,""/""),1))"),45751.0)</f>
        <v>45751</v>
      </c>
      <c r="D247" s="6" t="str">
        <f t="shared" si="2"/>
        <v>2025-04</v>
      </c>
      <c r="E247" s="13">
        <v>1000.0</v>
      </c>
      <c r="F247" s="8">
        <v>72.0</v>
      </c>
      <c r="G247" s="13">
        <v>0.0</v>
      </c>
      <c r="H247" s="7"/>
      <c r="I247" s="7">
        <f t="shared" si="4"/>
        <v>7.2</v>
      </c>
      <c r="J247" s="11" t="s">
        <v>464</v>
      </c>
    </row>
    <row r="248">
      <c r="A248" s="12" t="s">
        <v>407</v>
      </c>
      <c r="B248" s="14">
        <v>45720.0</v>
      </c>
      <c r="C248" s="14">
        <f>IFERROR(__xludf.DUMMYFUNCTION("DATE(RIGHT(B248,4), INDEX(SPLIT(B248,""/""),2), INDEX(SPLIT(B248,""/""),1))"),45750.0)</f>
        <v>45750</v>
      </c>
      <c r="D248" s="6" t="str">
        <f t="shared" si="2"/>
        <v>2025-04</v>
      </c>
      <c r="E248" s="13">
        <v>1200.0</v>
      </c>
      <c r="F248" s="8">
        <v>57.0</v>
      </c>
      <c r="G248" s="13">
        <v>1.0</v>
      </c>
      <c r="H248" s="7"/>
      <c r="I248" s="7">
        <f t="shared" si="4"/>
        <v>4.83</v>
      </c>
      <c r="J248" s="11" t="s">
        <v>465</v>
      </c>
    </row>
    <row r="249">
      <c r="A249" s="12" t="s">
        <v>407</v>
      </c>
      <c r="B249" s="14" t="s">
        <v>466</v>
      </c>
      <c r="C249" s="14">
        <f>IFERROR(__xludf.DUMMYFUNCTION("DATE(RIGHT(B249,4), INDEX(SPLIT(B249,""/""),2), INDEX(SPLIT(B249,""/""),1))"),45768.0)</f>
        <v>45768</v>
      </c>
      <c r="D249" s="6" t="str">
        <f t="shared" si="2"/>
        <v>2025-04</v>
      </c>
      <c r="E249" s="13">
        <v>5600.0</v>
      </c>
      <c r="F249" s="8">
        <v>567.0</v>
      </c>
      <c r="G249" s="13">
        <v>2.0</v>
      </c>
      <c r="H249" s="7"/>
      <c r="I249" s="7">
        <f t="shared" si="4"/>
        <v>10.16</v>
      </c>
      <c r="J249" s="11" t="s">
        <v>467</v>
      </c>
    </row>
    <row r="250">
      <c r="A250" s="12" t="s">
        <v>407</v>
      </c>
      <c r="B250" s="14" t="s">
        <v>466</v>
      </c>
      <c r="C250" s="14">
        <f>IFERROR(__xludf.DUMMYFUNCTION("DATE(RIGHT(B250,4), INDEX(SPLIT(B250,""/""),2), INDEX(SPLIT(B250,""/""),1))"),45768.0)</f>
        <v>45768</v>
      </c>
      <c r="D250" s="6" t="str">
        <f t="shared" si="2"/>
        <v>2025-04</v>
      </c>
      <c r="E250" s="13">
        <v>5300.0</v>
      </c>
      <c r="F250" s="8">
        <v>665.0</v>
      </c>
      <c r="G250" s="13">
        <v>0.0</v>
      </c>
      <c r="H250" s="7"/>
      <c r="I250" s="7">
        <f t="shared" si="4"/>
        <v>12.55</v>
      </c>
      <c r="J250" s="11" t="s">
        <v>468</v>
      </c>
    </row>
    <row r="251">
      <c r="A251" s="12" t="s">
        <v>407</v>
      </c>
      <c r="B251" s="14" t="s">
        <v>466</v>
      </c>
      <c r="C251" s="14">
        <f>IFERROR(__xludf.DUMMYFUNCTION("DATE(RIGHT(B251,4), INDEX(SPLIT(B251,""/""),2), INDEX(SPLIT(B251,""/""),1))"),45768.0)</f>
        <v>45768</v>
      </c>
      <c r="D251" s="6" t="str">
        <f t="shared" si="2"/>
        <v>2025-04</v>
      </c>
      <c r="E251" s="13">
        <v>5100.0</v>
      </c>
      <c r="F251" s="8">
        <v>560.0</v>
      </c>
      <c r="G251" s="13">
        <v>2.0</v>
      </c>
      <c r="H251" s="7"/>
      <c r="I251" s="7">
        <f t="shared" si="4"/>
        <v>11.02</v>
      </c>
      <c r="J251" s="11" t="s">
        <v>469</v>
      </c>
    </row>
    <row r="252">
      <c r="A252" s="12" t="s">
        <v>407</v>
      </c>
      <c r="B252" s="14" t="s">
        <v>470</v>
      </c>
      <c r="C252" s="14">
        <f>IFERROR(__xludf.DUMMYFUNCTION("DATE(RIGHT(B252,4), INDEX(SPLIT(B252,""/""),2), INDEX(SPLIT(B252,""/""),1))"),44464.0)</f>
        <v>44464</v>
      </c>
      <c r="D252" s="6" t="str">
        <f t="shared" si="2"/>
        <v>2021-09</v>
      </c>
      <c r="E252" s="13">
        <v>32700.0</v>
      </c>
      <c r="F252" s="8">
        <v>2000.0</v>
      </c>
      <c r="G252" s="13">
        <v>31.0</v>
      </c>
      <c r="H252" s="7"/>
      <c r="I252" s="7">
        <f t="shared" si="4"/>
        <v>6.21</v>
      </c>
      <c r="J252" s="11" t="s">
        <v>471</v>
      </c>
    </row>
    <row r="253">
      <c r="A253" s="12" t="s">
        <v>407</v>
      </c>
      <c r="B253" s="14" t="s">
        <v>472</v>
      </c>
      <c r="C253" s="14">
        <f>IFERROR(__xludf.DUMMYFUNCTION("DATE(RIGHT(B253,4), INDEX(SPLIT(B253,""/""),2), INDEX(SPLIT(B253,""/""),1))"),44469.0)</f>
        <v>44469</v>
      </c>
      <c r="D253" s="6" t="str">
        <f t="shared" si="2"/>
        <v>2021-09</v>
      </c>
      <c r="E253" s="13">
        <v>14800.0</v>
      </c>
      <c r="F253" s="8">
        <v>842.0</v>
      </c>
      <c r="G253" s="13">
        <v>16.0</v>
      </c>
      <c r="H253" s="7"/>
      <c r="I253" s="7">
        <f t="shared" si="4"/>
        <v>5.8</v>
      </c>
      <c r="J253" s="11" t="s">
        <v>473</v>
      </c>
    </row>
    <row r="254">
      <c r="A254" s="12" t="s">
        <v>407</v>
      </c>
      <c r="B254" s="13" t="s">
        <v>474</v>
      </c>
      <c r="C254" s="14">
        <f t="shared" ref="C254:C255" si="8">DATE(RIGHT(B254,4), MID(B254,4,2), LEFT(B254,2))</f>
        <v>44467</v>
      </c>
      <c r="D254" s="6" t="str">
        <f t="shared" si="2"/>
        <v>2021-09</v>
      </c>
      <c r="E254" s="13">
        <v>36800.0</v>
      </c>
      <c r="F254" s="8">
        <v>2600.0</v>
      </c>
      <c r="G254" s="13">
        <v>58.0</v>
      </c>
      <c r="H254" s="7"/>
      <c r="I254" s="7">
        <f t="shared" si="4"/>
        <v>7.22</v>
      </c>
      <c r="J254" s="11" t="s">
        <v>475</v>
      </c>
    </row>
    <row r="255">
      <c r="A255" s="12" t="s">
        <v>407</v>
      </c>
      <c r="B255" s="14" t="s">
        <v>476</v>
      </c>
      <c r="C255" s="14">
        <f t="shared" si="8"/>
        <v>44550</v>
      </c>
      <c r="D255" s="6" t="str">
        <f t="shared" si="2"/>
        <v>2021-12</v>
      </c>
      <c r="E255" s="13">
        <v>13100.0</v>
      </c>
      <c r="F255" s="8">
        <v>585.0</v>
      </c>
      <c r="G255" s="13">
        <v>0.0</v>
      </c>
      <c r="H255" s="7"/>
      <c r="I255" s="7">
        <f t="shared" si="4"/>
        <v>4.47</v>
      </c>
      <c r="J255" s="11" t="s">
        <v>477</v>
      </c>
    </row>
    <row r="256">
      <c r="A256" s="12" t="s">
        <v>407</v>
      </c>
      <c r="B256" s="14">
        <v>45994.0</v>
      </c>
      <c r="C256" s="14">
        <f>IFERROR(__xludf.DUMMYFUNCTION("DATE(RIGHT(B256,4), INDEX(SPLIT(B256,""/""),2), INDEX(SPLIT(B256,""/""),1))"),45728.0)</f>
        <v>45728</v>
      </c>
      <c r="D256" s="6" t="str">
        <f t="shared" si="2"/>
        <v>2025-03</v>
      </c>
      <c r="E256" s="13">
        <v>2600.0</v>
      </c>
      <c r="F256" s="8">
        <v>181.0</v>
      </c>
      <c r="G256" s="13">
        <v>0.0</v>
      </c>
      <c r="H256" s="7"/>
      <c r="I256" s="7">
        <f t="shared" si="4"/>
        <v>6.96</v>
      </c>
      <c r="J256" s="11" t="s">
        <v>478</v>
      </c>
    </row>
    <row r="257">
      <c r="A257" s="12" t="s">
        <v>407</v>
      </c>
      <c r="B257" s="14" t="s">
        <v>445</v>
      </c>
      <c r="C257" s="14">
        <f>IFERROR(__xludf.DUMMYFUNCTION("DATE(RIGHT(B257,4), INDEX(SPLIT(B257,""/""),2), INDEX(SPLIT(B257,""/""),1))"),45733.0)</f>
        <v>45733</v>
      </c>
      <c r="D257" s="6" t="str">
        <f t="shared" si="2"/>
        <v>2025-03</v>
      </c>
      <c r="E257" s="13">
        <v>1900.0</v>
      </c>
      <c r="F257" s="8">
        <v>126.0</v>
      </c>
      <c r="G257" s="13">
        <v>1.0</v>
      </c>
      <c r="H257" s="7"/>
      <c r="I257" s="7">
        <f t="shared" si="4"/>
        <v>6.68</v>
      </c>
      <c r="J257" s="11" t="s">
        <v>479</v>
      </c>
    </row>
    <row r="258">
      <c r="A258" s="12" t="s">
        <v>407</v>
      </c>
      <c r="B258" s="14" t="s">
        <v>449</v>
      </c>
      <c r="C258" s="14">
        <f>IFERROR(__xludf.DUMMYFUNCTION("DATE(RIGHT(B258,4), INDEX(SPLIT(B258,""/""),2), INDEX(SPLIT(B258,""/""),1))"),45729.0)</f>
        <v>45729</v>
      </c>
      <c r="D258" s="6" t="str">
        <f t="shared" si="2"/>
        <v>2025-03</v>
      </c>
      <c r="E258" s="13">
        <v>1700.0</v>
      </c>
      <c r="F258" s="8">
        <v>105.0</v>
      </c>
      <c r="G258" s="13">
        <v>0.0</v>
      </c>
      <c r="H258" s="7"/>
      <c r="I258" s="7">
        <f t="shared" si="4"/>
        <v>6.18</v>
      </c>
      <c r="J258" s="11" t="s">
        <v>480</v>
      </c>
    </row>
    <row r="259">
      <c r="A259" s="12" t="s">
        <v>407</v>
      </c>
      <c r="B259" s="14" t="s">
        <v>443</v>
      </c>
      <c r="C259" s="14">
        <f>IFERROR(__xludf.DUMMYFUNCTION("DATE(RIGHT(B259,4), INDEX(SPLIT(B259,""/""),2), INDEX(SPLIT(B259,""/""),1))"),45734.0)</f>
        <v>45734</v>
      </c>
      <c r="D259" s="6" t="str">
        <f t="shared" si="2"/>
        <v>2025-03</v>
      </c>
      <c r="E259" s="13">
        <v>1700.0</v>
      </c>
      <c r="F259" s="8">
        <v>81.0</v>
      </c>
      <c r="G259" s="13">
        <v>0.0</v>
      </c>
      <c r="H259" s="7"/>
      <c r="I259" s="7">
        <f t="shared" si="4"/>
        <v>4.76</v>
      </c>
      <c r="J259" s="11" t="s">
        <v>481</v>
      </c>
    </row>
    <row r="260">
      <c r="A260" s="12" t="s">
        <v>407</v>
      </c>
      <c r="B260" s="14" t="s">
        <v>443</v>
      </c>
      <c r="C260" s="14">
        <f>IFERROR(__xludf.DUMMYFUNCTION("DATE(RIGHT(B260,4), INDEX(SPLIT(B260,""/""),2), INDEX(SPLIT(B260,""/""),1))"),45734.0)</f>
        <v>45734</v>
      </c>
      <c r="D260" s="6" t="str">
        <f t="shared" si="2"/>
        <v>2025-03</v>
      </c>
      <c r="E260" s="13">
        <v>1600.0</v>
      </c>
      <c r="F260" s="8">
        <v>82.0</v>
      </c>
      <c r="G260" s="13">
        <v>0.0</v>
      </c>
      <c r="H260" s="7"/>
      <c r="I260" s="7">
        <f t="shared" si="4"/>
        <v>5.13</v>
      </c>
      <c r="J260" s="11" t="s">
        <v>482</v>
      </c>
    </row>
    <row r="261">
      <c r="A261" s="16" t="s">
        <v>407</v>
      </c>
      <c r="B261" s="17" t="s">
        <v>449</v>
      </c>
      <c r="C261" s="17">
        <f>IFERROR(__xludf.DUMMYFUNCTION("DATE(RIGHT(B261,4), INDEX(SPLIT(B261,""/""),2), INDEX(SPLIT(B261,""/""),1))"),45729.0)</f>
        <v>45729</v>
      </c>
      <c r="D261" s="18" t="str">
        <f t="shared" si="2"/>
        <v>2025-03</v>
      </c>
      <c r="E261" s="19">
        <v>1800.0</v>
      </c>
      <c r="F261" s="20">
        <v>82.0</v>
      </c>
      <c r="G261" s="19">
        <v>1.0</v>
      </c>
      <c r="H261" s="21"/>
      <c r="I261" s="21">
        <f t="shared" si="4"/>
        <v>4.61</v>
      </c>
      <c r="J261" s="22" t="s">
        <v>483</v>
      </c>
    </row>
    <row r="262">
      <c r="B262" s="23"/>
      <c r="C262" s="23"/>
      <c r="D262" s="23"/>
    </row>
    <row r="263">
      <c r="B263" s="23"/>
      <c r="C263" s="23"/>
      <c r="D263" s="23"/>
    </row>
    <row r="264">
      <c r="B264" s="23"/>
      <c r="C264" s="23"/>
      <c r="D264" s="23"/>
    </row>
    <row r="265">
      <c r="B265" s="23"/>
      <c r="C265" s="23"/>
      <c r="D265" s="23"/>
    </row>
    <row r="266">
      <c r="B266" s="23"/>
      <c r="C266" s="23"/>
      <c r="D266" s="23"/>
    </row>
    <row r="267">
      <c r="B267" s="23"/>
      <c r="C267" s="23"/>
      <c r="D267" s="23"/>
    </row>
    <row r="268">
      <c r="B268" s="23"/>
      <c r="C268" s="23"/>
      <c r="D268" s="23"/>
    </row>
    <row r="269">
      <c r="B269" s="23"/>
      <c r="C269" s="23"/>
      <c r="D269" s="23"/>
    </row>
    <row r="270">
      <c r="B270" s="23"/>
      <c r="C270" s="23"/>
      <c r="D270" s="23"/>
    </row>
    <row r="271">
      <c r="B271" s="23"/>
      <c r="C271" s="23"/>
      <c r="D271" s="23"/>
    </row>
    <row r="272">
      <c r="B272" s="23"/>
      <c r="C272" s="23"/>
      <c r="D272" s="23"/>
    </row>
    <row r="273">
      <c r="B273" s="23"/>
      <c r="C273" s="23"/>
      <c r="D273" s="23"/>
    </row>
    <row r="274">
      <c r="B274" s="23"/>
      <c r="C274" s="23"/>
      <c r="D274" s="23"/>
    </row>
    <row r="275">
      <c r="B275" s="23"/>
      <c r="C275" s="23"/>
      <c r="D275" s="23"/>
    </row>
    <row r="276">
      <c r="B276" s="23"/>
      <c r="C276" s="23"/>
      <c r="D276" s="23"/>
    </row>
    <row r="277">
      <c r="B277" s="23"/>
      <c r="C277" s="23"/>
      <c r="D277" s="23"/>
    </row>
    <row r="278">
      <c r="B278" s="23"/>
      <c r="C278" s="23"/>
      <c r="D278" s="23"/>
    </row>
    <row r="279">
      <c r="B279" s="23"/>
      <c r="C279" s="23"/>
      <c r="D279" s="23"/>
    </row>
    <row r="280">
      <c r="B280" s="23"/>
      <c r="C280" s="23"/>
      <c r="D280" s="23"/>
    </row>
    <row r="281">
      <c r="B281" s="23"/>
      <c r="C281" s="23"/>
      <c r="D281" s="23"/>
    </row>
    <row r="282">
      <c r="B282" s="23"/>
      <c r="C282" s="23"/>
      <c r="D282" s="23"/>
    </row>
    <row r="283">
      <c r="B283" s="23"/>
      <c r="C283" s="23"/>
      <c r="D283" s="23"/>
    </row>
    <row r="284">
      <c r="B284" s="23"/>
      <c r="C284" s="23"/>
      <c r="D284" s="23"/>
    </row>
    <row r="285">
      <c r="B285" s="23"/>
      <c r="C285" s="23"/>
      <c r="D285" s="23"/>
    </row>
    <row r="286">
      <c r="B286" s="23"/>
      <c r="C286" s="23"/>
      <c r="D286" s="23"/>
    </row>
    <row r="287">
      <c r="B287" s="23"/>
      <c r="C287" s="23"/>
      <c r="D287" s="23"/>
    </row>
    <row r="288">
      <c r="B288" s="23"/>
      <c r="C288" s="23"/>
      <c r="D288" s="23"/>
    </row>
    <row r="289">
      <c r="B289" s="23"/>
      <c r="C289" s="23"/>
      <c r="D289" s="23"/>
    </row>
    <row r="290">
      <c r="B290" s="23"/>
      <c r="C290" s="23"/>
      <c r="D290" s="23"/>
    </row>
    <row r="291">
      <c r="B291" s="23"/>
      <c r="C291" s="23"/>
      <c r="D291" s="23"/>
    </row>
    <row r="292">
      <c r="B292" s="23"/>
      <c r="C292" s="23"/>
      <c r="D292" s="23"/>
    </row>
    <row r="293">
      <c r="B293" s="23"/>
      <c r="C293" s="23"/>
      <c r="D293" s="23"/>
    </row>
    <row r="294">
      <c r="B294" s="23"/>
      <c r="C294" s="23"/>
      <c r="D294" s="23"/>
    </row>
    <row r="295">
      <c r="B295" s="23"/>
      <c r="C295" s="23"/>
      <c r="D295" s="23"/>
    </row>
    <row r="296">
      <c r="B296" s="23"/>
      <c r="C296" s="23"/>
      <c r="D296" s="23"/>
    </row>
    <row r="297">
      <c r="B297" s="23"/>
      <c r="C297" s="23"/>
      <c r="D297" s="23"/>
    </row>
    <row r="298">
      <c r="B298" s="23"/>
      <c r="C298" s="23"/>
      <c r="D298" s="23"/>
    </row>
    <row r="299">
      <c r="B299" s="23"/>
      <c r="C299" s="23"/>
      <c r="D299" s="23"/>
    </row>
    <row r="300">
      <c r="B300" s="23"/>
      <c r="C300" s="23"/>
      <c r="D300" s="23"/>
    </row>
    <row r="301">
      <c r="B301" s="23"/>
      <c r="C301" s="23"/>
      <c r="D301" s="23"/>
    </row>
    <row r="302">
      <c r="B302" s="23"/>
      <c r="C302" s="23"/>
      <c r="D302" s="23"/>
    </row>
    <row r="303">
      <c r="B303" s="23"/>
      <c r="C303" s="23"/>
      <c r="D303" s="23"/>
    </row>
    <row r="304">
      <c r="B304" s="23"/>
      <c r="C304" s="23"/>
      <c r="D304" s="23"/>
    </row>
    <row r="305">
      <c r="B305" s="23"/>
      <c r="C305" s="23"/>
      <c r="D305" s="23"/>
    </row>
    <row r="306">
      <c r="B306" s="23"/>
      <c r="C306" s="23"/>
      <c r="D306" s="23"/>
    </row>
    <row r="307">
      <c r="B307" s="23"/>
      <c r="C307" s="23"/>
      <c r="D307" s="23"/>
    </row>
    <row r="308">
      <c r="B308" s="23"/>
      <c r="C308" s="23"/>
      <c r="D308" s="23"/>
    </row>
    <row r="309">
      <c r="B309" s="23"/>
      <c r="C309" s="23"/>
      <c r="D309" s="23"/>
    </row>
    <row r="310">
      <c r="B310" s="23"/>
      <c r="C310" s="23"/>
      <c r="D310" s="23"/>
    </row>
    <row r="311">
      <c r="B311" s="23"/>
      <c r="C311" s="23"/>
      <c r="D311" s="23"/>
    </row>
    <row r="312">
      <c r="B312" s="23"/>
      <c r="C312" s="23"/>
      <c r="D312" s="23"/>
    </row>
    <row r="313">
      <c r="B313" s="23"/>
      <c r="C313" s="23"/>
      <c r="D313" s="23"/>
    </row>
    <row r="314">
      <c r="B314" s="23"/>
      <c r="C314" s="23"/>
      <c r="D314" s="23"/>
    </row>
    <row r="315">
      <c r="B315" s="23"/>
      <c r="C315" s="23"/>
      <c r="D315" s="23"/>
    </row>
    <row r="316">
      <c r="B316" s="23"/>
      <c r="C316" s="23"/>
      <c r="D316" s="23"/>
    </row>
    <row r="317">
      <c r="B317" s="23"/>
      <c r="C317" s="23"/>
      <c r="D317" s="23"/>
    </row>
    <row r="318">
      <c r="B318" s="23"/>
      <c r="C318" s="23"/>
      <c r="D318" s="23"/>
    </row>
    <row r="319">
      <c r="B319" s="23"/>
      <c r="C319" s="23"/>
      <c r="D319" s="23"/>
    </row>
    <row r="320">
      <c r="B320" s="23"/>
      <c r="C320" s="23"/>
      <c r="D320" s="23"/>
    </row>
    <row r="321">
      <c r="B321" s="23"/>
      <c r="C321" s="23"/>
      <c r="D321" s="23"/>
    </row>
    <row r="322">
      <c r="B322" s="23"/>
      <c r="C322" s="23"/>
      <c r="D322" s="23"/>
    </row>
    <row r="323">
      <c r="B323" s="23"/>
      <c r="C323" s="23"/>
      <c r="D323" s="23"/>
    </row>
    <row r="324">
      <c r="B324" s="23"/>
      <c r="C324" s="23"/>
      <c r="D324" s="23"/>
    </row>
    <row r="325">
      <c r="B325" s="23"/>
      <c r="C325" s="23"/>
      <c r="D325" s="23"/>
    </row>
    <row r="326">
      <c r="B326" s="23"/>
      <c r="C326" s="23"/>
      <c r="D326" s="23"/>
    </row>
    <row r="327">
      <c r="B327" s="23"/>
      <c r="C327" s="23"/>
      <c r="D327" s="23"/>
    </row>
    <row r="328">
      <c r="B328" s="23"/>
      <c r="C328" s="23"/>
      <c r="D328" s="23"/>
    </row>
    <row r="329">
      <c r="B329" s="23"/>
      <c r="C329" s="23"/>
      <c r="D329" s="23"/>
    </row>
    <row r="330">
      <c r="B330" s="23"/>
      <c r="C330" s="23"/>
      <c r="D330" s="23"/>
    </row>
    <row r="331">
      <c r="B331" s="23"/>
      <c r="C331" s="23"/>
      <c r="D331" s="23"/>
    </row>
    <row r="332">
      <c r="B332" s="23"/>
      <c r="C332" s="23"/>
      <c r="D332" s="23"/>
    </row>
    <row r="333">
      <c r="B333" s="23"/>
      <c r="C333" s="23"/>
      <c r="D333" s="23"/>
    </row>
    <row r="334">
      <c r="B334" s="23"/>
      <c r="C334" s="23"/>
      <c r="D334" s="23"/>
    </row>
    <row r="335">
      <c r="B335" s="23"/>
      <c r="C335" s="23"/>
      <c r="D335" s="23"/>
    </row>
    <row r="336">
      <c r="B336" s="23"/>
      <c r="C336" s="23"/>
      <c r="D336" s="23"/>
    </row>
    <row r="337">
      <c r="B337" s="23"/>
      <c r="C337" s="23"/>
      <c r="D337" s="23"/>
    </row>
    <row r="338">
      <c r="B338" s="23"/>
      <c r="C338" s="23"/>
      <c r="D338" s="23"/>
    </row>
    <row r="339">
      <c r="B339" s="23"/>
      <c r="C339" s="23"/>
      <c r="D339" s="23"/>
    </row>
    <row r="340">
      <c r="B340" s="23"/>
      <c r="C340" s="23"/>
      <c r="D340" s="23"/>
    </row>
    <row r="341">
      <c r="B341" s="23"/>
      <c r="C341" s="23"/>
      <c r="D341" s="23"/>
    </row>
    <row r="342">
      <c r="B342" s="23"/>
      <c r="C342" s="23"/>
      <c r="D342" s="23"/>
    </row>
    <row r="343">
      <c r="B343" s="23"/>
      <c r="C343" s="23"/>
      <c r="D343" s="23"/>
    </row>
    <row r="344">
      <c r="B344" s="23"/>
      <c r="C344" s="23"/>
      <c r="D344" s="23"/>
    </row>
    <row r="345">
      <c r="B345" s="23"/>
      <c r="C345" s="23"/>
      <c r="D345" s="23"/>
    </row>
    <row r="346">
      <c r="B346" s="23"/>
      <c r="C346" s="23"/>
      <c r="D346" s="23"/>
    </row>
    <row r="347">
      <c r="B347" s="23"/>
      <c r="C347" s="23"/>
      <c r="D347" s="23"/>
    </row>
    <row r="348">
      <c r="B348" s="23"/>
      <c r="C348" s="23"/>
      <c r="D348" s="23"/>
    </row>
    <row r="349">
      <c r="B349" s="23"/>
      <c r="C349" s="23"/>
      <c r="D349" s="23"/>
    </row>
    <row r="350">
      <c r="B350" s="23"/>
      <c r="C350" s="23"/>
      <c r="D350" s="23"/>
    </row>
    <row r="351">
      <c r="B351" s="23"/>
      <c r="C351" s="23"/>
      <c r="D351" s="23"/>
    </row>
    <row r="352">
      <c r="B352" s="23"/>
      <c r="C352" s="23"/>
      <c r="D352" s="23"/>
    </row>
    <row r="353">
      <c r="B353" s="23"/>
      <c r="C353" s="23"/>
      <c r="D353" s="23"/>
    </row>
    <row r="354">
      <c r="B354" s="23"/>
      <c r="C354" s="23"/>
      <c r="D354" s="23"/>
    </row>
    <row r="355">
      <c r="B355" s="23"/>
      <c r="C355" s="23"/>
      <c r="D355" s="23"/>
    </row>
    <row r="356">
      <c r="B356" s="23"/>
      <c r="C356" s="23"/>
      <c r="D356" s="23"/>
    </row>
    <row r="357">
      <c r="B357" s="23"/>
      <c r="C357" s="23"/>
      <c r="D357" s="23"/>
    </row>
    <row r="358">
      <c r="B358" s="23"/>
      <c r="C358" s="23"/>
      <c r="D358" s="23"/>
    </row>
    <row r="359">
      <c r="B359" s="23"/>
      <c r="C359" s="23"/>
      <c r="D359" s="23"/>
    </row>
    <row r="360">
      <c r="B360" s="23"/>
      <c r="C360" s="23"/>
      <c r="D360" s="23"/>
    </row>
    <row r="361">
      <c r="B361" s="23"/>
      <c r="C361" s="23"/>
      <c r="D361" s="23"/>
    </row>
    <row r="362">
      <c r="B362" s="23"/>
      <c r="C362" s="23"/>
      <c r="D362" s="23"/>
    </row>
    <row r="363">
      <c r="B363" s="23"/>
      <c r="C363" s="23"/>
      <c r="D363" s="23"/>
    </row>
    <row r="364">
      <c r="B364" s="23"/>
      <c r="C364" s="23"/>
      <c r="D364" s="23"/>
    </row>
    <row r="365">
      <c r="B365" s="23"/>
      <c r="C365" s="23"/>
      <c r="D365" s="23"/>
    </row>
    <row r="366">
      <c r="B366" s="23"/>
      <c r="C366" s="23"/>
      <c r="D366" s="23"/>
    </row>
    <row r="367">
      <c r="B367" s="23"/>
      <c r="C367" s="23"/>
      <c r="D367" s="23"/>
    </row>
    <row r="368">
      <c r="B368" s="23"/>
      <c r="C368" s="23"/>
      <c r="D368" s="23"/>
    </row>
    <row r="369">
      <c r="B369" s="23"/>
      <c r="C369" s="23"/>
      <c r="D369" s="23"/>
    </row>
    <row r="370">
      <c r="B370" s="23"/>
      <c r="C370" s="23"/>
      <c r="D370" s="23"/>
    </row>
    <row r="371">
      <c r="B371" s="23"/>
      <c r="C371" s="23"/>
      <c r="D371" s="23"/>
    </row>
    <row r="372">
      <c r="B372" s="23"/>
      <c r="C372" s="23"/>
      <c r="D372" s="23"/>
    </row>
    <row r="373">
      <c r="B373" s="23"/>
      <c r="C373" s="23"/>
      <c r="D373" s="23"/>
    </row>
    <row r="374">
      <c r="B374" s="23"/>
      <c r="C374" s="23"/>
      <c r="D374" s="23"/>
    </row>
    <row r="375">
      <c r="B375" s="23"/>
      <c r="C375" s="23"/>
      <c r="D375" s="23"/>
    </row>
    <row r="376">
      <c r="B376" s="23"/>
      <c r="C376" s="23"/>
      <c r="D376" s="23"/>
    </row>
    <row r="377">
      <c r="B377" s="23"/>
      <c r="C377" s="23"/>
      <c r="D377" s="23"/>
    </row>
    <row r="378">
      <c r="B378" s="23"/>
      <c r="C378" s="23"/>
      <c r="D378" s="23"/>
    </row>
    <row r="379">
      <c r="B379" s="23"/>
      <c r="C379" s="23"/>
      <c r="D379" s="23"/>
    </row>
    <row r="380">
      <c r="B380" s="23"/>
      <c r="C380" s="23"/>
      <c r="D380" s="23"/>
    </row>
    <row r="381">
      <c r="B381" s="23"/>
      <c r="C381" s="23"/>
      <c r="D381" s="23"/>
    </row>
    <row r="382">
      <c r="B382" s="23"/>
      <c r="C382" s="23"/>
      <c r="D382" s="23"/>
    </row>
    <row r="383">
      <c r="B383" s="23"/>
      <c r="C383" s="23"/>
      <c r="D383" s="23"/>
    </row>
    <row r="384">
      <c r="B384" s="23"/>
      <c r="C384" s="23"/>
      <c r="D384" s="23"/>
    </row>
    <row r="385">
      <c r="B385" s="23"/>
      <c r="C385" s="23"/>
      <c r="D385" s="23"/>
    </row>
    <row r="386">
      <c r="B386" s="23"/>
      <c r="C386" s="23"/>
      <c r="D386" s="23"/>
    </row>
    <row r="387">
      <c r="B387" s="23"/>
      <c r="C387" s="23"/>
      <c r="D387" s="23"/>
    </row>
    <row r="388">
      <c r="B388" s="23"/>
      <c r="C388" s="23"/>
      <c r="D388" s="23"/>
    </row>
    <row r="389">
      <c r="B389" s="23"/>
      <c r="C389" s="23"/>
      <c r="D389" s="23"/>
    </row>
    <row r="390">
      <c r="B390" s="23"/>
      <c r="C390" s="23"/>
      <c r="D390" s="23"/>
    </row>
    <row r="391">
      <c r="B391" s="23"/>
      <c r="C391" s="23"/>
      <c r="D391" s="23"/>
    </row>
    <row r="392">
      <c r="B392" s="23"/>
      <c r="C392" s="23"/>
      <c r="D392" s="23"/>
    </row>
    <row r="393">
      <c r="B393" s="23"/>
      <c r="C393" s="23"/>
      <c r="D393" s="23"/>
    </row>
    <row r="394">
      <c r="B394" s="23"/>
      <c r="C394" s="23"/>
      <c r="D394" s="23"/>
    </row>
    <row r="395">
      <c r="B395" s="23"/>
      <c r="C395" s="23"/>
      <c r="D395" s="23"/>
    </row>
    <row r="396">
      <c r="B396" s="23"/>
      <c r="C396" s="23"/>
      <c r="D396" s="23"/>
    </row>
    <row r="397">
      <c r="B397" s="23"/>
      <c r="C397" s="23"/>
      <c r="D397" s="23"/>
    </row>
    <row r="398">
      <c r="B398" s="23"/>
      <c r="C398" s="23"/>
      <c r="D398" s="23"/>
    </row>
    <row r="399">
      <c r="B399" s="23"/>
      <c r="C399" s="23"/>
      <c r="D399" s="23"/>
    </row>
    <row r="400">
      <c r="B400" s="23"/>
      <c r="C400" s="23"/>
      <c r="D400" s="23"/>
    </row>
    <row r="401">
      <c r="B401" s="23"/>
      <c r="C401" s="23"/>
      <c r="D401" s="23"/>
    </row>
    <row r="402">
      <c r="B402" s="23"/>
      <c r="C402" s="23"/>
      <c r="D402" s="23"/>
    </row>
    <row r="403">
      <c r="B403" s="23"/>
      <c r="C403" s="23"/>
      <c r="D403" s="23"/>
    </row>
    <row r="404">
      <c r="B404" s="23"/>
      <c r="C404" s="23"/>
      <c r="D404" s="23"/>
    </row>
    <row r="405">
      <c r="B405" s="23"/>
      <c r="C405" s="23"/>
      <c r="D405" s="23"/>
    </row>
    <row r="406">
      <c r="B406" s="23"/>
      <c r="C406" s="23"/>
      <c r="D406" s="23"/>
    </row>
    <row r="407">
      <c r="B407" s="23"/>
      <c r="C407" s="23"/>
      <c r="D407" s="23"/>
    </row>
    <row r="408">
      <c r="B408" s="23"/>
      <c r="C408" s="23"/>
      <c r="D408" s="23"/>
    </row>
    <row r="409">
      <c r="B409" s="23"/>
      <c r="C409" s="23"/>
      <c r="D409" s="23"/>
    </row>
    <row r="410">
      <c r="B410" s="23"/>
      <c r="C410" s="23"/>
      <c r="D410" s="23"/>
    </row>
    <row r="411">
      <c r="B411" s="23"/>
      <c r="C411" s="23"/>
      <c r="D411" s="23"/>
    </row>
    <row r="412">
      <c r="B412" s="23"/>
      <c r="C412" s="23"/>
      <c r="D412" s="23"/>
    </row>
    <row r="413">
      <c r="B413" s="23"/>
      <c r="C413" s="23"/>
      <c r="D413" s="23"/>
    </row>
    <row r="414">
      <c r="B414" s="23"/>
      <c r="C414" s="23"/>
      <c r="D414" s="23"/>
    </row>
    <row r="415">
      <c r="B415" s="23"/>
      <c r="C415" s="23"/>
      <c r="D415" s="23"/>
    </row>
    <row r="416">
      <c r="B416" s="23"/>
      <c r="C416" s="23"/>
      <c r="D416" s="23"/>
    </row>
    <row r="417">
      <c r="B417" s="23"/>
      <c r="C417" s="23"/>
      <c r="D417" s="23"/>
    </row>
    <row r="418">
      <c r="B418" s="23"/>
      <c r="C418" s="23"/>
      <c r="D418" s="23"/>
    </row>
    <row r="419">
      <c r="B419" s="23"/>
      <c r="C419" s="23"/>
      <c r="D419" s="23"/>
    </row>
    <row r="420">
      <c r="B420" s="23"/>
      <c r="C420" s="23"/>
      <c r="D420" s="23"/>
    </row>
    <row r="421">
      <c r="B421" s="23"/>
      <c r="C421" s="23"/>
      <c r="D421" s="23"/>
    </row>
    <row r="422">
      <c r="B422" s="23"/>
      <c r="C422" s="23"/>
      <c r="D422" s="23"/>
    </row>
    <row r="423">
      <c r="B423" s="23"/>
      <c r="C423" s="23"/>
      <c r="D423" s="23"/>
    </row>
    <row r="424">
      <c r="B424" s="23"/>
      <c r="C424" s="23"/>
      <c r="D424" s="23"/>
    </row>
    <row r="425">
      <c r="B425" s="23"/>
      <c r="C425" s="23"/>
      <c r="D425" s="23"/>
    </row>
    <row r="426">
      <c r="B426" s="23"/>
      <c r="C426" s="23"/>
      <c r="D426" s="23"/>
    </row>
    <row r="427">
      <c r="B427" s="23"/>
      <c r="C427" s="23"/>
      <c r="D427" s="23"/>
    </row>
    <row r="428">
      <c r="B428" s="23"/>
      <c r="C428" s="23"/>
      <c r="D428" s="23"/>
    </row>
    <row r="429">
      <c r="B429" s="23"/>
      <c r="C429" s="23"/>
      <c r="D429" s="23"/>
    </row>
    <row r="430">
      <c r="B430" s="23"/>
      <c r="C430" s="23"/>
      <c r="D430" s="23"/>
    </row>
    <row r="431">
      <c r="B431" s="23"/>
      <c r="C431" s="23"/>
      <c r="D431" s="23"/>
    </row>
    <row r="432">
      <c r="B432" s="23"/>
      <c r="C432" s="23"/>
      <c r="D432" s="23"/>
    </row>
    <row r="433">
      <c r="B433" s="23"/>
      <c r="C433" s="23"/>
      <c r="D433" s="23"/>
    </row>
    <row r="434">
      <c r="B434" s="23"/>
      <c r="C434" s="23"/>
      <c r="D434" s="23"/>
    </row>
    <row r="435">
      <c r="B435" s="23"/>
      <c r="C435" s="23"/>
      <c r="D435" s="23"/>
    </row>
    <row r="436">
      <c r="B436" s="23"/>
      <c r="C436" s="23"/>
      <c r="D436" s="23"/>
    </row>
    <row r="437">
      <c r="B437" s="23"/>
      <c r="C437" s="23"/>
      <c r="D437" s="23"/>
    </row>
    <row r="438">
      <c r="B438" s="23"/>
      <c r="C438" s="23"/>
      <c r="D438" s="23"/>
    </row>
    <row r="439">
      <c r="B439" s="23"/>
      <c r="C439" s="23"/>
      <c r="D439" s="23"/>
    </row>
    <row r="440">
      <c r="B440" s="23"/>
      <c r="C440" s="23"/>
      <c r="D440" s="23"/>
    </row>
    <row r="441">
      <c r="B441" s="23"/>
      <c r="C441" s="23"/>
      <c r="D441" s="23"/>
    </row>
    <row r="442">
      <c r="B442" s="23"/>
      <c r="C442" s="23"/>
      <c r="D442" s="23"/>
    </row>
    <row r="443">
      <c r="B443" s="23"/>
      <c r="C443" s="23"/>
      <c r="D443" s="23"/>
    </row>
    <row r="444">
      <c r="B444" s="23"/>
      <c r="C444" s="23"/>
      <c r="D444" s="23"/>
    </row>
    <row r="445">
      <c r="B445" s="23"/>
      <c r="C445" s="23"/>
      <c r="D445" s="23"/>
    </row>
    <row r="446">
      <c r="B446" s="23"/>
      <c r="C446" s="23"/>
      <c r="D446" s="23"/>
    </row>
    <row r="447">
      <c r="B447" s="23"/>
      <c r="C447" s="23"/>
      <c r="D447" s="23"/>
    </row>
    <row r="448">
      <c r="B448" s="23"/>
      <c r="C448" s="23"/>
      <c r="D448" s="23"/>
    </row>
    <row r="449">
      <c r="B449" s="23"/>
      <c r="C449" s="23"/>
      <c r="D449" s="23"/>
    </row>
    <row r="450">
      <c r="B450" s="23"/>
      <c r="C450" s="23"/>
      <c r="D450" s="23"/>
    </row>
    <row r="451">
      <c r="B451" s="23"/>
      <c r="C451" s="23"/>
      <c r="D451" s="23"/>
    </row>
    <row r="452">
      <c r="B452" s="23"/>
      <c r="C452" s="23"/>
      <c r="D452" s="23"/>
    </row>
    <row r="453">
      <c r="B453" s="23"/>
      <c r="C453" s="23"/>
      <c r="D453" s="23"/>
    </row>
    <row r="454">
      <c r="B454" s="23"/>
      <c r="C454" s="23"/>
      <c r="D454" s="23"/>
    </row>
    <row r="455">
      <c r="B455" s="23"/>
      <c r="C455" s="23"/>
      <c r="D455" s="23"/>
    </row>
    <row r="456">
      <c r="B456" s="23"/>
      <c r="C456" s="23"/>
      <c r="D456" s="23"/>
    </row>
    <row r="457">
      <c r="B457" s="23"/>
      <c r="C457" s="23"/>
      <c r="D457" s="23"/>
    </row>
    <row r="458">
      <c r="B458" s="23"/>
      <c r="C458" s="23"/>
      <c r="D458" s="23"/>
    </row>
    <row r="459">
      <c r="B459" s="23"/>
      <c r="C459" s="23"/>
      <c r="D459" s="23"/>
    </row>
    <row r="460">
      <c r="B460" s="23"/>
      <c r="C460" s="23"/>
      <c r="D460" s="23"/>
    </row>
    <row r="461">
      <c r="B461" s="23"/>
      <c r="C461" s="23"/>
      <c r="D461" s="23"/>
    </row>
    <row r="462">
      <c r="B462" s="23"/>
      <c r="C462" s="23"/>
      <c r="D462" s="23"/>
    </row>
    <row r="463">
      <c r="B463" s="23"/>
      <c r="C463" s="23"/>
      <c r="D463" s="23"/>
    </row>
    <row r="464">
      <c r="B464" s="23"/>
      <c r="C464" s="23"/>
      <c r="D464" s="23"/>
    </row>
    <row r="465">
      <c r="B465" s="23"/>
      <c r="C465" s="23"/>
      <c r="D465" s="23"/>
    </row>
    <row r="466">
      <c r="B466" s="23"/>
      <c r="C466" s="23"/>
      <c r="D466" s="23"/>
    </row>
    <row r="467">
      <c r="B467" s="23"/>
      <c r="C467" s="23"/>
      <c r="D467" s="23"/>
    </row>
    <row r="468">
      <c r="B468" s="23"/>
      <c r="C468" s="23"/>
      <c r="D468" s="23"/>
    </row>
    <row r="469">
      <c r="B469" s="23"/>
      <c r="C469" s="23"/>
      <c r="D469" s="23"/>
    </row>
    <row r="470">
      <c r="B470" s="23"/>
      <c r="C470" s="23"/>
      <c r="D470" s="23"/>
    </row>
    <row r="471">
      <c r="B471" s="23"/>
      <c r="C471" s="23"/>
      <c r="D471" s="23"/>
    </row>
    <row r="472">
      <c r="B472" s="23"/>
      <c r="C472" s="23"/>
      <c r="D472" s="23"/>
    </row>
    <row r="473">
      <c r="B473" s="23"/>
      <c r="C473" s="23"/>
      <c r="D473" s="23"/>
    </row>
    <row r="474">
      <c r="B474" s="23"/>
      <c r="C474" s="23"/>
      <c r="D474" s="23"/>
    </row>
    <row r="475">
      <c r="B475" s="23"/>
      <c r="C475" s="23"/>
      <c r="D475" s="23"/>
    </row>
    <row r="476">
      <c r="B476" s="23"/>
      <c r="C476" s="23"/>
      <c r="D476" s="23"/>
    </row>
    <row r="477">
      <c r="B477" s="23"/>
      <c r="C477" s="23"/>
      <c r="D477" s="23"/>
    </row>
    <row r="478">
      <c r="B478" s="23"/>
      <c r="C478" s="23"/>
      <c r="D478" s="23"/>
    </row>
    <row r="479">
      <c r="B479" s="23"/>
      <c r="C479" s="23"/>
      <c r="D479" s="23"/>
    </row>
    <row r="480">
      <c r="B480" s="23"/>
      <c r="C480" s="23"/>
      <c r="D480" s="23"/>
    </row>
    <row r="481">
      <c r="B481" s="23"/>
      <c r="C481" s="23"/>
      <c r="D481" s="23"/>
    </row>
    <row r="482">
      <c r="B482" s="23"/>
      <c r="C482" s="23"/>
      <c r="D482" s="23"/>
    </row>
    <row r="483">
      <c r="B483" s="23"/>
      <c r="C483" s="23"/>
      <c r="D483" s="23"/>
    </row>
    <row r="484">
      <c r="B484" s="23"/>
      <c r="C484" s="23"/>
      <c r="D484" s="23"/>
    </row>
    <row r="485">
      <c r="B485" s="23"/>
      <c r="C485" s="23"/>
      <c r="D485" s="23"/>
    </row>
    <row r="486">
      <c r="B486" s="23"/>
      <c r="C486" s="23"/>
      <c r="D486" s="23"/>
    </row>
    <row r="487">
      <c r="B487" s="23"/>
      <c r="C487" s="23"/>
      <c r="D487" s="23"/>
    </row>
    <row r="488">
      <c r="B488" s="23"/>
      <c r="C488" s="23"/>
      <c r="D488" s="23"/>
    </row>
    <row r="489">
      <c r="B489" s="23"/>
      <c r="C489" s="23"/>
      <c r="D489" s="23"/>
    </row>
    <row r="490">
      <c r="B490" s="23"/>
      <c r="C490" s="23"/>
      <c r="D490" s="23"/>
    </row>
    <row r="491">
      <c r="B491" s="23"/>
      <c r="C491" s="23"/>
      <c r="D491" s="23"/>
    </row>
    <row r="492">
      <c r="B492" s="23"/>
      <c r="C492" s="23"/>
      <c r="D492" s="23"/>
    </row>
    <row r="493">
      <c r="B493" s="23"/>
      <c r="C493" s="23"/>
      <c r="D493" s="23"/>
    </row>
    <row r="494">
      <c r="B494" s="23"/>
      <c r="C494" s="23"/>
      <c r="D494" s="23"/>
    </row>
    <row r="495">
      <c r="B495" s="23"/>
      <c r="C495" s="23"/>
      <c r="D495" s="23"/>
    </row>
    <row r="496">
      <c r="B496" s="23"/>
      <c r="C496" s="23"/>
      <c r="D496" s="23"/>
    </row>
    <row r="497">
      <c r="B497" s="23"/>
      <c r="C497" s="23"/>
      <c r="D497" s="23"/>
    </row>
    <row r="498">
      <c r="B498" s="23"/>
      <c r="C498" s="23"/>
      <c r="D498" s="23"/>
    </row>
    <row r="499">
      <c r="B499" s="23"/>
      <c r="C499" s="23"/>
      <c r="D499" s="23"/>
    </row>
    <row r="500">
      <c r="B500" s="23"/>
      <c r="C500" s="23"/>
      <c r="D500" s="23"/>
    </row>
    <row r="501">
      <c r="B501" s="23"/>
      <c r="C501" s="23"/>
      <c r="D501" s="23"/>
    </row>
    <row r="502">
      <c r="B502" s="23"/>
      <c r="C502" s="23"/>
      <c r="D502" s="23"/>
    </row>
    <row r="503">
      <c r="B503" s="23"/>
      <c r="C503" s="23"/>
      <c r="D503" s="23"/>
    </row>
    <row r="504">
      <c r="B504" s="23"/>
      <c r="C504" s="23"/>
      <c r="D504" s="23"/>
    </row>
    <row r="505">
      <c r="B505" s="23"/>
      <c r="C505" s="23"/>
      <c r="D505" s="23"/>
    </row>
    <row r="506">
      <c r="B506" s="23"/>
      <c r="C506" s="23"/>
      <c r="D506" s="23"/>
    </row>
    <row r="507">
      <c r="B507" s="23"/>
      <c r="C507" s="23"/>
      <c r="D507" s="23"/>
    </row>
    <row r="508">
      <c r="B508" s="23"/>
      <c r="C508" s="23"/>
      <c r="D508" s="23"/>
    </row>
    <row r="509">
      <c r="B509" s="23"/>
      <c r="C509" s="23"/>
      <c r="D509" s="23"/>
    </row>
    <row r="510">
      <c r="B510" s="23"/>
      <c r="C510" s="23"/>
      <c r="D510" s="23"/>
    </row>
    <row r="511">
      <c r="B511" s="23"/>
      <c r="C511" s="23"/>
      <c r="D511" s="23"/>
    </row>
    <row r="512">
      <c r="B512" s="23"/>
      <c r="C512" s="23"/>
      <c r="D512" s="23"/>
    </row>
    <row r="513">
      <c r="B513" s="23"/>
      <c r="C513" s="23"/>
      <c r="D513" s="23"/>
    </row>
    <row r="514">
      <c r="B514" s="23"/>
      <c r="C514" s="23"/>
      <c r="D514" s="23"/>
    </row>
    <row r="515">
      <c r="B515" s="23"/>
      <c r="C515" s="23"/>
      <c r="D515" s="23"/>
    </row>
    <row r="516">
      <c r="B516" s="23"/>
      <c r="C516" s="23"/>
      <c r="D516" s="23"/>
    </row>
    <row r="517">
      <c r="B517" s="23"/>
      <c r="C517" s="23"/>
      <c r="D517" s="23"/>
    </row>
    <row r="518">
      <c r="B518" s="23"/>
      <c r="C518" s="23"/>
      <c r="D518" s="23"/>
    </row>
    <row r="519">
      <c r="B519" s="23"/>
      <c r="C519" s="23"/>
      <c r="D519" s="23"/>
    </row>
    <row r="520">
      <c r="B520" s="23"/>
      <c r="C520" s="23"/>
      <c r="D520" s="23"/>
    </row>
    <row r="521">
      <c r="B521" s="23"/>
      <c r="C521" s="23"/>
      <c r="D521" s="23"/>
    </row>
    <row r="522">
      <c r="B522" s="23"/>
      <c r="C522" s="23"/>
      <c r="D522" s="23"/>
    </row>
    <row r="523">
      <c r="B523" s="23"/>
      <c r="C523" s="23"/>
      <c r="D523" s="23"/>
    </row>
    <row r="524">
      <c r="B524" s="23"/>
      <c r="C524" s="23"/>
      <c r="D524" s="23"/>
    </row>
    <row r="525">
      <c r="B525" s="23"/>
      <c r="C525" s="23"/>
      <c r="D525" s="23"/>
    </row>
    <row r="526">
      <c r="B526" s="23"/>
      <c r="C526" s="23"/>
      <c r="D526" s="23"/>
    </row>
    <row r="527">
      <c r="B527" s="23"/>
      <c r="C527" s="23"/>
      <c r="D527" s="23"/>
    </row>
    <row r="528">
      <c r="B528" s="23"/>
      <c r="C528" s="23"/>
      <c r="D528" s="23"/>
    </row>
    <row r="529">
      <c r="B529" s="23"/>
      <c r="C529" s="23"/>
      <c r="D529" s="23"/>
    </row>
    <row r="530">
      <c r="B530" s="23"/>
      <c r="C530" s="23"/>
      <c r="D530" s="23"/>
    </row>
    <row r="531">
      <c r="B531" s="23"/>
      <c r="C531" s="23"/>
      <c r="D531" s="23"/>
    </row>
    <row r="532">
      <c r="B532" s="23"/>
      <c r="C532" s="23"/>
      <c r="D532" s="23"/>
    </row>
    <row r="533">
      <c r="B533" s="23"/>
      <c r="C533" s="23"/>
      <c r="D533" s="23"/>
    </row>
    <row r="534">
      <c r="B534" s="23"/>
      <c r="C534" s="23"/>
      <c r="D534" s="23"/>
    </row>
    <row r="535">
      <c r="B535" s="23"/>
      <c r="C535" s="23"/>
      <c r="D535" s="23"/>
    </row>
    <row r="536">
      <c r="B536" s="23"/>
      <c r="C536" s="23"/>
      <c r="D536" s="23"/>
    </row>
    <row r="537">
      <c r="B537" s="23"/>
      <c r="C537" s="23"/>
      <c r="D537" s="23"/>
    </row>
    <row r="538">
      <c r="B538" s="23"/>
      <c r="C538" s="23"/>
      <c r="D538" s="23"/>
    </row>
    <row r="539">
      <c r="B539" s="23"/>
      <c r="C539" s="23"/>
      <c r="D539" s="23"/>
    </row>
    <row r="540">
      <c r="B540" s="23"/>
      <c r="C540" s="23"/>
      <c r="D540" s="23"/>
    </row>
    <row r="541">
      <c r="B541" s="23"/>
      <c r="C541" s="23"/>
      <c r="D541" s="23"/>
    </row>
    <row r="542">
      <c r="B542" s="23"/>
      <c r="C542" s="23"/>
      <c r="D542" s="23"/>
    </row>
    <row r="543">
      <c r="B543" s="23"/>
      <c r="C543" s="23"/>
      <c r="D543" s="23"/>
    </row>
    <row r="544">
      <c r="B544" s="23"/>
      <c r="C544" s="23"/>
      <c r="D544" s="23"/>
    </row>
    <row r="545">
      <c r="B545" s="23"/>
      <c r="C545" s="23"/>
      <c r="D545" s="23"/>
    </row>
    <row r="546">
      <c r="B546" s="23"/>
      <c r="C546" s="23"/>
      <c r="D546" s="23"/>
    </row>
    <row r="547">
      <c r="B547" s="23"/>
      <c r="C547" s="23"/>
      <c r="D547" s="23"/>
    </row>
    <row r="548">
      <c r="B548" s="23"/>
      <c r="C548" s="23"/>
      <c r="D548" s="23"/>
    </row>
    <row r="549">
      <c r="B549" s="23"/>
      <c r="C549" s="23"/>
      <c r="D549" s="23"/>
    </row>
    <row r="550">
      <c r="B550" s="23"/>
      <c r="C550" s="23"/>
      <c r="D550" s="23"/>
    </row>
    <row r="551">
      <c r="B551" s="23"/>
      <c r="C551" s="23"/>
      <c r="D551" s="23"/>
    </row>
    <row r="552">
      <c r="B552" s="23"/>
      <c r="C552" s="23"/>
      <c r="D552" s="23"/>
    </row>
    <row r="553">
      <c r="B553" s="23"/>
      <c r="C553" s="23"/>
      <c r="D553" s="23"/>
    </row>
    <row r="554">
      <c r="B554" s="23"/>
      <c r="C554" s="23"/>
      <c r="D554" s="23"/>
    </row>
    <row r="555">
      <c r="B555" s="23"/>
      <c r="C555" s="23"/>
      <c r="D555" s="23"/>
    </row>
    <row r="556">
      <c r="B556" s="23"/>
      <c r="C556" s="23"/>
      <c r="D556" s="23"/>
    </row>
    <row r="557">
      <c r="B557" s="23"/>
      <c r="C557" s="23"/>
      <c r="D557" s="23"/>
    </row>
    <row r="558">
      <c r="B558" s="23"/>
      <c r="C558" s="23"/>
      <c r="D558" s="23"/>
    </row>
    <row r="559">
      <c r="B559" s="23"/>
      <c r="C559" s="23"/>
      <c r="D559" s="23"/>
    </row>
    <row r="560">
      <c r="B560" s="23"/>
      <c r="C560" s="23"/>
      <c r="D560" s="23"/>
    </row>
    <row r="561">
      <c r="B561" s="23"/>
      <c r="C561" s="23"/>
      <c r="D561" s="23"/>
    </row>
    <row r="562">
      <c r="B562" s="23"/>
      <c r="C562" s="23"/>
      <c r="D562" s="23"/>
    </row>
    <row r="563">
      <c r="B563" s="23"/>
      <c r="C563" s="23"/>
      <c r="D563" s="23"/>
    </row>
    <row r="564">
      <c r="B564" s="23"/>
      <c r="C564" s="23"/>
      <c r="D564" s="23"/>
    </row>
    <row r="565">
      <c r="B565" s="23"/>
      <c r="C565" s="23"/>
      <c r="D565" s="23"/>
    </row>
    <row r="566">
      <c r="B566" s="23"/>
      <c r="C566" s="23"/>
      <c r="D566" s="23"/>
    </row>
    <row r="567">
      <c r="B567" s="23"/>
      <c r="C567" s="23"/>
      <c r="D567" s="23"/>
    </row>
    <row r="568">
      <c r="B568" s="23"/>
      <c r="C568" s="23"/>
      <c r="D568" s="23"/>
    </row>
    <row r="569">
      <c r="B569" s="23"/>
      <c r="C569" s="23"/>
      <c r="D569" s="23"/>
    </row>
    <row r="570">
      <c r="B570" s="23"/>
      <c r="C570" s="23"/>
      <c r="D570" s="23"/>
    </row>
    <row r="571">
      <c r="B571" s="23"/>
      <c r="C571" s="23"/>
      <c r="D571" s="23"/>
    </row>
    <row r="572">
      <c r="B572" s="23"/>
      <c r="C572" s="23"/>
      <c r="D572" s="23"/>
    </row>
    <row r="573">
      <c r="B573" s="23"/>
      <c r="C573" s="23"/>
      <c r="D573" s="23"/>
    </row>
    <row r="574">
      <c r="B574" s="23"/>
      <c r="C574" s="23"/>
      <c r="D574" s="23"/>
    </row>
    <row r="575">
      <c r="B575" s="23"/>
      <c r="C575" s="23"/>
      <c r="D575" s="23"/>
    </row>
    <row r="576">
      <c r="B576" s="23"/>
      <c r="C576" s="23"/>
      <c r="D576" s="23"/>
    </row>
    <row r="577">
      <c r="B577" s="23"/>
      <c r="C577" s="23"/>
      <c r="D577" s="23"/>
    </row>
    <row r="578">
      <c r="B578" s="23"/>
      <c r="C578" s="23"/>
      <c r="D578" s="23"/>
    </row>
    <row r="579">
      <c r="B579" s="23"/>
      <c r="C579" s="23"/>
      <c r="D579" s="23"/>
    </row>
    <row r="580">
      <c r="B580" s="23"/>
      <c r="C580" s="23"/>
      <c r="D580" s="23"/>
    </row>
    <row r="581">
      <c r="B581" s="23"/>
      <c r="C581" s="23"/>
      <c r="D581" s="23"/>
    </row>
    <row r="582">
      <c r="B582" s="23"/>
      <c r="C582" s="23"/>
      <c r="D582" s="23"/>
    </row>
    <row r="583">
      <c r="B583" s="23"/>
      <c r="C583" s="23"/>
      <c r="D583" s="23"/>
    </row>
    <row r="584">
      <c r="B584" s="23"/>
      <c r="C584" s="23"/>
      <c r="D584" s="23"/>
    </row>
    <row r="585">
      <c r="B585" s="23"/>
      <c r="C585" s="23"/>
      <c r="D585" s="23"/>
    </row>
    <row r="586">
      <c r="B586" s="23"/>
      <c r="C586" s="23"/>
      <c r="D586" s="23"/>
    </row>
    <row r="587">
      <c r="B587" s="23"/>
      <c r="C587" s="23"/>
      <c r="D587" s="23"/>
    </row>
    <row r="588">
      <c r="B588" s="23"/>
      <c r="C588" s="23"/>
      <c r="D588" s="23"/>
    </row>
    <row r="589">
      <c r="B589" s="23"/>
      <c r="C589" s="23"/>
      <c r="D589" s="23"/>
    </row>
    <row r="590">
      <c r="B590" s="23"/>
      <c r="C590" s="23"/>
      <c r="D590" s="23"/>
    </row>
    <row r="591">
      <c r="B591" s="23"/>
      <c r="C591" s="23"/>
      <c r="D591" s="23"/>
    </row>
    <row r="592">
      <c r="B592" s="23"/>
      <c r="C592" s="23"/>
      <c r="D592" s="23"/>
    </row>
    <row r="593">
      <c r="B593" s="23"/>
      <c r="C593" s="23"/>
      <c r="D593" s="23"/>
    </row>
    <row r="594">
      <c r="B594" s="23"/>
      <c r="C594" s="23"/>
      <c r="D594" s="23"/>
    </row>
    <row r="595">
      <c r="B595" s="23"/>
      <c r="C595" s="23"/>
      <c r="D595" s="23"/>
    </row>
    <row r="596">
      <c r="B596" s="23"/>
      <c r="C596" s="23"/>
      <c r="D596" s="23"/>
    </row>
    <row r="597">
      <c r="B597" s="23"/>
      <c r="C597" s="23"/>
      <c r="D597" s="23"/>
    </row>
    <row r="598">
      <c r="B598" s="23"/>
      <c r="C598" s="23"/>
      <c r="D598" s="23"/>
    </row>
    <row r="599">
      <c r="B599" s="23"/>
      <c r="C599" s="23"/>
      <c r="D599" s="23"/>
    </row>
    <row r="600">
      <c r="B600" s="23"/>
      <c r="C600" s="23"/>
      <c r="D600" s="23"/>
    </row>
    <row r="601">
      <c r="B601" s="23"/>
      <c r="C601" s="23"/>
      <c r="D601" s="23"/>
    </row>
    <row r="602">
      <c r="B602" s="23"/>
      <c r="C602" s="23"/>
      <c r="D602" s="23"/>
    </row>
    <row r="603">
      <c r="B603" s="23"/>
      <c r="C603" s="23"/>
      <c r="D603" s="23"/>
    </row>
    <row r="604">
      <c r="B604" s="23"/>
      <c r="C604" s="23"/>
      <c r="D604" s="23"/>
    </row>
    <row r="605">
      <c r="B605" s="23"/>
      <c r="C605" s="23"/>
      <c r="D605" s="23"/>
    </row>
    <row r="606">
      <c r="B606" s="23"/>
      <c r="C606" s="23"/>
      <c r="D606" s="23"/>
    </row>
    <row r="607">
      <c r="B607" s="23"/>
      <c r="C607" s="23"/>
      <c r="D607" s="23"/>
    </row>
    <row r="608">
      <c r="B608" s="23"/>
      <c r="C608" s="23"/>
      <c r="D608" s="23"/>
    </row>
    <row r="609">
      <c r="B609" s="23"/>
      <c r="C609" s="23"/>
      <c r="D609" s="23"/>
    </row>
    <row r="610">
      <c r="B610" s="23"/>
      <c r="C610" s="23"/>
      <c r="D610" s="23"/>
    </row>
    <row r="611">
      <c r="B611" s="23"/>
      <c r="C611" s="23"/>
      <c r="D611" s="23"/>
    </row>
    <row r="612">
      <c r="B612" s="23"/>
      <c r="C612" s="23"/>
      <c r="D612" s="23"/>
    </row>
    <row r="613">
      <c r="B613" s="23"/>
      <c r="C613" s="23"/>
      <c r="D613" s="23"/>
    </row>
    <row r="614">
      <c r="B614" s="23"/>
      <c r="C614" s="23"/>
      <c r="D614" s="23"/>
    </row>
    <row r="615">
      <c r="B615" s="23"/>
      <c r="C615" s="23"/>
      <c r="D615" s="23"/>
    </row>
    <row r="616">
      <c r="B616" s="23"/>
      <c r="C616" s="23"/>
      <c r="D616" s="23"/>
    </row>
    <row r="617">
      <c r="B617" s="23"/>
      <c r="C617" s="23"/>
      <c r="D617" s="23"/>
    </row>
    <row r="618">
      <c r="B618" s="23"/>
      <c r="C618" s="23"/>
      <c r="D618" s="23"/>
    </row>
    <row r="619">
      <c r="B619" s="23"/>
      <c r="C619" s="23"/>
      <c r="D619" s="23"/>
    </row>
    <row r="620">
      <c r="B620" s="23"/>
      <c r="C620" s="23"/>
      <c r="D620" s="23"/>
    </row>
    <row r="621">
      <c r="B621" s="23"/>
      <c r="C621" s="23"/>
      <c r="D621" s="23"/>
    </row>
    <row r="622">
      <c r="B622" s="23"/>
      <c r="C622" s="23"/>
      <c r="D622" s="23"/>
    </row>
    <row r="623">
      <c r="B623" s="23"/>
      <c r="C623" s="23"/>
      <c r="D623" s="23"/>
    </row>
    <row r="624">
      <c r="B624" s="23"/>
      <c r="C624" s="23"/>
      <c r="D624" s="23"/>
    </row>
    <row r="625">
      <c r="B625" s="23"/>
      <c r="C625" s="23"/>
      <c r="D625" s="23"/>
    </row>
    <row r="626">
      <c r="B626" s="23"/>
      <c r="C626" s="23"/>
      <c r="D626" s="23"/>
    </row>
    <row r="627">
      <c r="B627" s="23"/>
      <c r="C627" s="23"/>
      <c r="D627" s="23"/>
    </row>
    <row r="628">
      <c r="B628" s="23"/>
      <c r="C628" s="23"/>
      <c r="D628" s="23"/>
    </row>
    <row r="629">
      <c r="B629" s="23"/>
      <c r="C629" s="23"/>
      <c r="D629" s="23"/>
    </row>
    <row r="630">
      <c r="B630" s="23"/>
      <c r="C630" s="23"/>
      <c r="D630" s="23"/>
    </row>
    <row r="631">
      <c r="B631" s="23"/>
      <c r="C631" s="23"/>
      <c r="D631" s="23"/>
    </row>
    <row r="632">
      <c r="B632" s="23"/>
      <c r="C632" s="23"/>
      <c r="D632" s="23"/>
    </row>
    <row r="633">
      <c r="B633" s="23"/>
      <c r="C633" s="23"/>
      <c r="D633" s="23"/>
    </row>
    <row r="634">
      <c r="B634" s="23"/>
      <c r="C634" s="23"/>
      <c r="D634" s="23"/>
    </row>
    <row r="635">
      <c r="B635" s="23"/>
      <c r="C635" s="23"/>
      <c r="D635" s="23"/>
    </row>
    <row r="636">
      <c r="B636" s="23"/>
      <c r="C636" s="23"/>
      <c r="D636" s="23"/>
    </row>
    <row r="637">
      <c r="B637" s="23"/>
      <c r="C637" s="23"/>
      <c r="D637" s="23"/>
    </row>
    <row r="638">
      <c r="B638" s="23"/>
      <c r="C638" s="23"/>
      <c r="D638" s="23"/>
    </row>
    <row r="639">
      <c r="B639" s="23"/>
      <c r="C639" s="23"/>
      <c r="D639" s="23"/>
    </row>
    <row r="640">
      <c r="B640" s="23"/>
      <c r="C640" s="23"/>
      <c r="D640" s="23"/>
    </row>
    <row r="641">
      <c r="B641" s="23"/>
      <c r="C641" s="23"/>
      <c r="D641" s="23"/>
    </row>
    <row r="642">
      <c r="B642" s="23"/>
      <c r="C642" s="23"/>
      <c r="D642" s="23"/>
    </row>
    <row r="643">
      <c r="B643" s="23"/>
      <c r="C643" s="23"/>
      <c r="D643" s="23"/>
    </row>
    <row r="644">
      <c r="B644" s="23"/>
      <c r="C644" s="23"/>
      <c r="D644" s="23"/>
    </row>
    <row r="645">
      <c r="B645" s="23"/>
      <c r="C645" s="23"/>
      <c r="D645" s="23"/>
    </row>
    <row r="646">
      <c r="B646" s="23"/>
      <c r="C646" s="23"/>
      <c r="D646" s="23"/>
    </row>
    <row r="647">
      <c r="B647" s="23"/>
      <c r="C647" s="23"/>
      <c r="D647" s="23"/>
    </row>
    <row r="648">
      <c r="B648" s="23"/>
      <c r="C648" s="23"/>
      <c r="D648" s="23"/>
    </row>
    <row r="649">
      <c r="B649" s="23"/>
      <c r="C649" s="23"/>
      <c r="D649" s="23"/>
    </row>
    <row r="650">
      <c r="B650" s="23"/>
      <c r="C650" s="23"/>
      <c r="D650" s="23"/>
    </row>
    <row r="651">
      <c r="B651" s="23"/>
      <c r="C651" s="23"/>
      <c r="D651" s="23"/>
    </row>
    <row r="652">
      <c r="B652" s="23"/>
      <c r="C652" s="23"/>
      <c r="D652" s="23"/>
    </row>
    <row r="653">
      <c r="B653" s="23"/>
      <c r="C653" s="23"/>
      <c r="D653" s="23"/>
    </row>
    <row r="654">
      <c r="B654" s="23"/>
      <c r="C654" s="23"/>
      <c r="D654" s="23"/>
    </row>
    <row r="655">
      <c r="B655" s="23"/>
      <c r="C655" s="23"/>
      <c r="D655" s="23"/>
    </row>
    <row r="656">
      <c r="B656" s="23"/>
      <c r="C656" s="23"/>
      <c r="D656" s="23"/>
    </row>
    <row r="657">
      <c r="B657" s="23"/>
      <c r="C657" s="23"/>
      <c r="D657" s="23"/>
    </row>
    <row r="658">
      <c r="B658" s="23"/>
      <c r="C658" s="23"/>
      <c r="D658" s="23"/>
    </row>
    <row r="659">
      <c r="B659" s="23"/>
      <c r="C659" s="23"/>
      <c r="D659" s="23"/>
    </row>
    <row r="660">
      <c r="B660" s="23"/>
      <c r="C660" s="23"/>
      <c r="D660" s="23"/>
    </row>
    <row r="661">
      <c r="B661" s="23"/>
      <c r="C661" s="23"/>
      <c r="D661" s="23"/>
    </row>
    <row r="662">
      <c r="B662" s="23"/>
      <c r="C662" s="23"/>
      <c r="D662" s="23"/>
    </row>
    <row r="663">
      <c r="B663" s="23"/>
      <c r="C663" s="23"/>
      <c r="D663" s="23"/>
    </row>
    <row r="664">
      <c r="B664" s="23"/>
      <c r="C664" s="23"/>
      <c r="D664" s="23"/>
    </row>
    <row r="665">
      <c r="B665" s="23"/>
      <c r="C665" s="23"/>
      <c r="D665" s="23"/>
    </row>
    <row r="666">
      <c r="B666" s="23"/>
      <c r="C666" s="23"/>
      <c r="D666" s="23"/>
    </row>
    <row r="667">
      <c r="B667" s="23"/>
      <c r="C667" s="23"/>
      <c r="D667" s="23"/>
    </row>
    <row r="668">
      <c r="B668" s="23"/>
      <c r="C668" s="23"/>
      <c r="D668" s="23"/>
    </row>
    <row r="669">
      <c r="B669" s="23"/>
      <c r="C669" s="23"/>
      <c r="D669" s="23"/>
    </row>
    <row r="670">
      <c r="B670" s="23"/>
      <c r="C670" s="23"/>
      <c r="D670" s="23"/>
    </row>
    <row r="671">
      <c r="B671" s="23"/>
      <c r="C671" s="23"/>
      <c r="D671" s="23"/>
    </row>
    <row r="672">
      <c r="B672" s="23"/>
      <c r="C672" s="23"/>
      <c r="D672" s="23"/>
    </row>
    <row r="673">
      <c r="B673" s="23"/>
      <c r="C673" s="23"/>
      <c r="D673" s="23"/>
    </row>
    <row r="674">
      <c r="B674" s="23"/>
      <c r="C674" s="23"/>
      <c r="D674" s="23"/>
    </row>
    <row r="675">
      <c r="B675" s="23"/>
      <c r="C675" s="23"/>
      <c r="D675" s="23"/>
    </row>
    <row r="676">
      <c r="B676" s="23"/>
      <c r="C676" s="23"/>
      <c r="D676" s="23"/>
    </row>
    <row r="677">
      <c r="B677" s="23"/>
      <c r="C677" s="23"/>
      <c r="D677" s="23"/>
    </row>
    <row r="678">
      <c r="B678" s="23"/>
      <c r="C678" s="23"/>
      <c r="D678" s="23"/>
    </row>
    <row r="679">
      <c r="B679" s="23"/>
      <c r="C679" s="23"/>
      <c r="D679" s="23"/>
    </row>
    <row r="680">
      <c r="B680" s="23"/>
      <c r="C680" s="23"/>
      <c r="D680" s="23"/>
    </row>
    <row r="681">
      <c r="B681" s="23"/>
      <c r="C681" s="23"/>
      <c r="D681" s="23"/>
    </row>
    <row r="682">
      <c r="B682" s="23"/>
      <c r="C682" s="23"/>
      <c r="D682" s="23"/>
    </row>
    <row r="683">
      <c r="B683" s="23"/>
      <c r="C683" s="23"/>
      <c r="D683" s="23"/>
    </row>
    <row r="684">
      <c r="B684" s="23"/>
      <c r="C684" s="23"/>
      <c r="D684" s="23"/>
    </row>
    <row r="685">
      <c r="B685" s="23"/>
      <c r="C685" s="23"/>
      <c r="D685" s="23"/>
    </row>
    <row r="686">
      <c r="B686" s="23"/>
      <c r="C686" s="23"/>
      <c r="D686" s="23"/>
    </row>
    <row r="687">
      <c r="B687" s="23"/>
      <c r="C687" s="23"/>
      <c r="D687" s="23"/>
    </row>
    <row r="688">
      <c r="B688" s="23"/>
      <c r="C688" s="23"/>
      <c r="D688" s="23"/>
    </row>
    <row r="689">
      <c r="B689" s="23"/>
      <c r="C689" s="23"/>
      <c r="D689" s="23"/>
    </row>
    <row r="690">
      <c r="B690" s="23"/>
      <c r="C690" s="23"/>
      <c r="D690" s="23"/>
    </row>
    <row r="691">
      <c r="B691" s="23"/>
      <c r="C691" s="23"/>
      <c r="D691" s="23"/>
    </row>
    <row r="692">
      <c r="B692" s="23"/>
      <c r="C692" s="23"/>
      <c r="D692" s="23"/>
    </row>
    <row r="693">
      <c r="B693" s="23"/>
      <c r="C693" s="23"/>
      <c r="D693" s="23"/>
    </row>
    <row r="694">
      <c r="B694" s="23"/>
      <c r="C694" s="23"/>
      <c r="D694" s="23"/>
    </row>
    <row r="695">
      <c r="B695" s="23"/>
      <c r="C695" s="23"/>
      <c r="D695" s="23"/>
    </row>
    <row r="696">
      <c r="B696" s="23"/>
      <c r="C696" s="23"/>
      <c r="D696" s="23"/>
    </row>
    <row r="697">
      <c r="B697" s="23"/>
      <c r="C697" s="23"/>
      <c r="D697" s="23"/>
    </row>
    <row r="698">
      <c r="B698" s="23"/>
      <c r="C698" s="23"/>
      <c r="D698" s="23"/>
    </row>
    <row r="699">
      <c r="B699" s="23"/>
      <c r="C699" s="23"/>
      <c r="D699" s="23"/>
    </row>
    <row r="700">
      <c r="B700" s="23"/>
      <c r="C700" s="23"/>
      <c r="D700" s="23"/>
    </row>
    <row r="701">
      <c r="B701" s="23"/>
      <c r="C701" s="23"/>
      <c r="D701" s="23"/>
    </row>
    <row r="702">
      <c r="B702" s="23"/>
      <c r="C702" s="23"/>
      <c r="D702" s="23"/>
    </row>
    <row r="703">
      <c r="B703" s="23"/>
      <c r="C703" s="23"/>
      <c r="D703" s="23"/>
    </row>
    <row r="704">
      <c r="B704" s="23"/>
      <c r="C704" s="23"/>
      <c r="D704" s="23"/>
    </row>
    <row r="705">
      <c r="B705" s="23"/>
      <c r="C705" s="23"/>
      <c r="D705" s="23"/>
    </row>
    <row r="706">
      <c r="B706" s="23"/>
      <c r="C706" s="23"/>
      <c r="D706" s="23"/>
    </row>
    <row r="707">
      <c r="B707" s="23"/>
      <c r="C707" s="23"/>
      <c r="D707" s="23"/>
    </row>
    <row r="708">
      <c r="B708" s="23"/>
      <c r="C708" s="23"/>
      <c r="D708" s="23"/>
    </row>
    <row r="709">
      <c r="B709" s="23"/>
      <c r="C709" s="23"/>
      <c r="D709" s="23"/>
    </row>
    <row r="710">
      <c r="B710" s="23"/>
      <c r="C710" s="23"/>
      <c r="D710" s="23"/>
    </row>
    <row r="711">
      <c r="B711" s="23"/>
      <c r="C711" s="23"/>
      <c r="D711" s="23"/>
    </row>
    <row r="712">
      <c r="B712" s="23"/>
      <c r="C712" s="23"/>
      <c r="D712" s="23"/>
    </row>
    <row r="713">
      <c r="B713" s="23"/>
      <c r="C713" s="23"/>
      <c r="D713" s="23"/>
    </row>
    <row r="714">
      <c r="B714" s="23"/>
      <c r="C714" s="23"/>
      <c r="D714" s="23"/>
    </row>
    <row r="715">
      <c r="B715" s="23"/>
      <c r="C715" s="23"/>
      <c r="D715" s="23"/>
    </row>
    <row r="716">
      <c r="B716" s="23"/>
      <c r="C716" s="23"/>
      <c r="D716" s="23"/>
    </row>
    <row r="717">
      <c r="B717" s="23"/>
      <c r="C717" s="23"/>
      <c r="D717" s="23"/>
    </row>
    <row r="718">
      <c r="B718" s="23"/>
      <c r="C718" s="23"/>
      <c r="D718" s="23"/>
    </row>
    <row r="719">
      <c r="B719" s="23"/>
      <c r="C719" s="23"/>
      <c r="D719" s="23"/>
    </row>
    <row r="720">
      <c r="B720" s="23"/>
      <c r="C720" s="23"/>
      <c r="D720" s="23"/>
    </row>
    <row r="721">
      <c r="B721" s="23"/>
      <c r="C721" s="23"/>
      <c r="D721" s="23"/>
    </row>
    <row r="722">
      <c r="B722" s="23"/>
      <c r="C722" s="23"/>
      <c r="D722" s="23"/>
    </row>
    <row r="723">
      <c r="B723" s="23"/>
      <c r="C723" s="23"/>
      <c r="D723" s="23"/>
    </row>
    <row r="724">
      <c r="B724" s="23"/>
      <c r="C724" s="23"/>
      <c r="D724" s="23"/>
    </row>
    <row r="725">
      <c r="B725" s="23"/>
      <c r="C725" s="23"/>
      <c r="D725" s="23"/>
    </row>
    <row r="726">
      <c r="B726" s="23"/>
      <c r="C726" s="23"/>
      <c r="D726" s="23"/>
    </row>
    <row r="727">
      <c r="B727" s="23"/>
      <c r="C727" s="23"/>
      <c r="D727" s="23"/>
    </row>
    <row r="728">
      <c r="B728" s="23"/>
      <c r="C728" s="23"/>
      <c r="D728" s="23"/>
    </row>
    <row r="729">
      <c r="B729" s="23"/>
      <c r="C729" s="23"/>
      <c r="D729" s="23"/>
    </row>
    <row r="730">
      <c r="B730" s="23"/>
      <c r="C730" s="23"/>
      <c r="D730" s="23"/>
    </row>
    <row r="731">
      <c r="B731" s="23"/>
      <c r="C731" s="23"/>
      <c r="D731" s="23"/>
    </row>
    <row r="732">
      <c r="B732" s="23"/>
      <c r="C732" s="23"/>
      <c r="D732" s="23"/>
    </row>
    <row r="733">
      <c r="B733" s="23"/>
      <c r="C733" s="23"/>
      <c r="D733" s="23"/>
    </row>
    <row r="734">
      <c r="B734" s="23"/>
      <c r="C734" s="23"/>
      <c r="D734" s="23"/>
    </row>
    <row r="735">
      <c r="B735" s="23"/>
      <c r="C735" s="23"/>
      <c r="D735" s="23"/>
    </row>
    <row r="736">
      <c r="B736" s="23"/>
      <c r="C736" s="23"/>
      <c r="D736" s="23"/>
    </row>
    <row r="737">
      <c r="B737" s="23"/>
      <c r="C737" s="23"/>
      <c r="D737" s="23"/>
    </row>
    <row r="738">
      <c r="B738" s="23"/>
      <c r="C738" s="23"/>
      <c r="D738" s="23"/>
    </row>
    <row r="739">
      <c r="B739" s="23"/>
      <c r="C739" s="23"/>
      <c r="D739" s="23"/>
    </row>
    <row r="740">
      <c r="B740" s="23"/>
      <c r="C740" s="23"/>
      <c r="D740" s="23"/>
    </row>
    <row r="741">
      <c r="B741" s="23"/>
      <c r="C741" s="23"/>
      <c r="D741" s="23"/>
    </row>
    <row r="742">
      <c r="B742" s="23"/>
      <c r="C742" s="23"/>
      <c r="D742" s="23"/>
    </row>
    <row r="743">
      <c r="B743" s="23"/>
      <c r="C743" s="23"/>
      <c r="D743" s="23"/>
    </row>
    <row r="744">
      <c r="B744" s="23"/>
      <c r="C744" s="23"/>
      <c r="D744" s="23"/>
    </row>
    <row r="745">
      <c r="B745" s="23"/>
      <c r="C745" s="23"/>
      <c r="D745" s="23"/>
    </row>
    <row r="746">
      <c r="B746" s="23"/>
      <c r="C746" s="23"/>
      <c r="D746" s="23"/>
    </row>
    <row r="747">
      <c r="B747" s="23"/>
      <c r="C747" s="23"/>
      <c r="D747" s="23"/>
    </row>
    <row r="748">
      <c r="B748" s="23"/>
      <c r="C748" s="23"/>
      <c r="D748" s="23"/>
    </row>
    <row r="749">
      <c r="B749" s="23"/>
      <c r="C749" s="23"/>
      <c r="D749" s="23"/>
    </row>
    <row r="750">
      <c r="B750" s="23"/>
      <c r="C750" s="23"/>
      <c r="D750" s="23"/>
    </row>
    <row r="751">
      <c r="B751" s="23"/>
      <c r="C751" s="23"/>
      <c r="D751" s="23"/>
    </row>
    <row r="752">
      <c r="B752" s="23"/>
      <c r="C752" s="23"/>
      <c r="D752" s="23"/>
    </row>
    <row r="753">
      <c r="B753" s="23"/>
      <c r="C753" s="23"/>
      <c r="D753" s="23"/>
    </row>
    <row r="754">
      <c r="B754" s="23"/>
      <c r="C754" s="23"/>
      <c r="D754" s="23"/>
    </row>
    <row r="755">
      <c r="B755" s="23"/>
      <c r="C755" s="23"/>
      <c r="D755" s="23"/>
    </row>
    <row r="756">
      <c r="B756" s="23"/>
      <c r="C756" s="23"/>
      <c r="D756" s="23"/>
    </row>
    <row r="757">
      <c r="B757" s="23"/>
      <c r="C757" s="23"/>
      <c r="D757" s="23"/>
    </row>
    <row r="758">
      <c r="B758" s="23"/>
      <c r="C758" s="23"/>
      <c r="D758" s="23"/>
    </row>
    <row r="759">
      <c r="B759" s="23"/>
      <c r="C759" s="23"/>
      <c r="D759" s="23"/>
    </row>
    <row r="760">
      <c r="B760" s="23"/>
      <c r="C760" s="23"/>
      <c r="D760" s="23"/>
    </row>
    <row r="761">
      <c r="B761" s="23"/>
      <c r="C761" s="23"/>
      <c r="D761" s="23"/>
    </row>
    <row r="762">
      <c r="B762" s="23"/>
      <c r="C762" s="23"/>
      <c r="D762" s="23"/>
    </row>
    <row r="763">
      <c r="B763" s="23"/>
      <c r="C763" s="23"/>
      <c r="D763" s="23"/>
    </row>
    <row r="764">
      <c r="B764" s="23"/>
      <c r="C764" s="23"/>
      <c r="D764" s="23"/>
    </row>
    <row r="765">
      <c r="B765" s="23"/>
      <c r="C765" s="23"/>
      <c r="D765" s="23"/>
    </row>
    <row r="766">
      <c r="B766" s="23"/>
      <c r="C766" s="23"/>
      <c r="D766" s="23"/>
    </row>
    <row r="767">
      <c r="B767" s="23"/>
      <c r="C767" s="23"/>
      <c r="D767" s="23"/>
    </row>
    <row r="768">
      <c r="B768" s="23"/>
      <c r="C768" s="23"/>
      <c r="D768" s="23"/>
    </row>
    <row r="769">
      <c r="B769" s="23"/>
      <c r="C769" s="23"/>
      <c r="D769" s="23"/>
    </row>
    <row r="770">
      <c r="B770" s="23"/>
      <c r="C770" s="23"/>
      <c r="D770" s="23"/>
    </row>
    <row r="771">
      <c r="B771" s="23"/>
      <c r="C771" s="23"/>
      <c r="D771" s="23"/>
    </row>
    <row r="772">
      <c r="B772" s="23"/>
      <c r="C772" s="23"/>
      <c r="D772" s="23"/>
    </row>
    <row r="773">
      <c r="B773" s="23"/>
      <c r="C773" s="23"/>
      <c r="D773" s="23"/>
    </row>
    <row r="774">
      <c r="B774" s="23"/>
      <c r="C774" s="23"/>
      <c r="D774" s="23"/>
    </row>
    <row r="775">
      <c r="B775" s="23"/>
      <c r="C775" s="23"/>
      <c r="D775" s="23"/>
    </row>
    <row r="776">
      <c r="B776" s="23"/>
      <c r="C776" s="23"/>
      <c r="D776" s="23"/>
    </row>
    <row r="777">
      <c r="B777" s="23"/>
      <c r="C777" s="23"/>
      <c r="D777" s="23"/>
    </row>
    <row r="778">
      <c r="B778" s="23"/>
      <c r="C778" s="23"/>
      <c r="D778" s="23"/>
    </row>
    <row r="779">
      <c r="B779" s="23"/>
      <c r="C779" s="23"/>
      <c r="D779" s="23"/>
    </row>
    <row r="780">
      <c r="B780" s="23"/>
      <c r="C780" s="23"/>
      <c r="D780" s="23"/>
    </row>
    <row r="781">
      <c r="B781" s="23"/>
      <c r="C781" s="23"/>
      <c r="D781" s="23"/>
    </row>
    <row r="782">
      <c r="B782" s="23"/>
      <c r="C782" s="23"/>
      <c r="D782" s="23"/>
    </row>
    <row r="783">
      <c r="B783" s="23"/>
      <c r="C783" s="23"/>
      <c r="D783" s="23"/>
    </row>
    <row r="784">
      <c r="B784" s="23"/>
      <c r="C784" s="23"/>
      <c r="D784" s="23"/>
    </row>
    <row r="785">
      <c r="B785" s="23"/>
      <c r="C785" s="23"/>
      <c r="D785" s="23"/>
    </row>
    <row r="786">
      <c r="B786" s="23"/>
      <c r="C786" s="23"/>
      <c r="D786" s="23"/>
    </row>
    <row r="787">
      <c r="B787" s="23"/>
      <c r="C787" s="23"/>
      <c r="D787" s="23"/>
    </row>
    <row r="788">
      <c r="B788" s="23"/>
      <c r="C788" s="23"/>
      <c r="D788" s="23"/>
    </row>
    <row r="789">
      <c r="B789" s="23"/>
      <c r="C789" s="23"/>
      <c r="D789" s="23"/>
    </row>
    <row r="790">
      <c r="B790" s="23"/>
      <c r="C790" s="23"/>
      <c r="D790" s="23"/>
    </row>
    <row r="791">
      <c r="B791" s="23"/>
      <c r="C791" s="23"/>
      <c r="D791" s="23"/>
    </row>
    <row r="792">
      <c r="B792" s="23"/>
      <c r="C792" s="23"/>
      <c r="D792" s="23"/>
    </row>
    <row r="793">
      <c r="B793" s="23"/>
      <c r="C793" s="23"/>
      <c r="D793" s="23"/>
    </row>
    <row r="794">
      <c r="B794" s="23"/>
      <c r="C794" s="23"/>
      <c r="D794" s="23"/>
    </row>
    <row r="795">
      <c r="B795" s="23"/>
      <c r="C795" s="23"/>
      <c r="D795" s="23"/>
    </row>
    <row r="796">
      <c r="B796" s="23"/>
      <c r="C796" s="23"/>
      <c r="D796" s="23"/>
    </row>
    <row r="797">
      <c r="B797" s="23"/>
      <c r="C797" s="23"/>
      <c r="D797" s="23"/>
    </row>
    <row r="798">
      <c r="B798" s="23"/>
      <c r="C798" s="23"/>
      <c r="D798" s="23"/>
    </row>
    <row r="799">
      <c r="B799" s="23"/>
      <c r="C799" s="23"/>
      <c r="D799" s="23"/>
    </row>
    <row r="800">
      <c r="B800" s="23"/>
      <c r="C800" s="23"/>
      <c r="D800" s="23"/>
    </row>
    <row r="801">
      <c r="B801" s="23"/>
      <c r="C801" s="23"/>
      <c r="D801" s="23"/>
    </row>
    <row r="802">
      <c r="B802" s="23"/>
      <c r="C802" s="23"/>
      <c r="D802" s="23"/>
    </row>
    <row r="803">
      <c r="B803" s="23"/>
      <c r="C803" s="23"/>
      <c r="D803" s="23"/>
    </row>
    <row r="804">
      <c r="B804" s="23"/>
      <c r="C804" s="23"/>
      <c r="D804" s="23"/>
    </row>
    <row r="805">
      <c r="B805" s="23"/>
      <c r="C805" s="23"/>
      <c r="D805" s="23"/>
    </row>
    <row r="806">
      <c r="B806" s="23"/>
      <c r="C806" s="23"/>
      <c r="D806" s="23"/>
    </row>
    <row r="807">
      <c r="B807" s="23"/>
      <c r="C807" s="23"/>
      <c r="D807" s="23"/>
    </row>
    <row r="808">
      <c r="B808" s="23"/>
      <c r="C808" s="23"/>
      <c r="D808" s="23"/>
    </row>
    <row r="809">
      <c r="B809" s="23"/>
      <c r="C809" s="23"/>
      <c r="D809" s="23"/>
    </row>
    <row r="810">
      <c r="B810" s="23"/>
      <c r="C810" s="23"/>
      <c r="D810" s="23"/>
    </row>
    <row r="811">
      <c r="B811" s="23"/>
      <c r="C811" s="23"/>
      <c r="D811" s="2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  <hyperlink r:id="rId201" ref="J202"/>
    <hyperlink r:id="rId202" ref="J203"/>
    <hyperlink r:id="rId203" ref="J204"/>
    <hyperlink r:id="rId204" ref="J205"/>
    <hyperlink r:id="rId205" ref="J206"/>
    <hyperlink r:id="rId206" ref="J207"/>
    <hyperlink r:id="rId207" ref="J208"/>
    <hyperlink r:id="rId208" ref="J209"/>
    <hyperlink r:id="rId209" ref="J210"/>
    <hyperlink r:id="rId210" ref="J211"/>
    <hyperlink r:id="rId211" ref="J212"/>
    <hyperlink r:id="rId212" ref="J213"/>
    <hyperlink r:id="rId213" ref="J214"/>
    <hyperlink r:id="rId214" ref="J215"/>
    <hyperlink r:id="rId215" ref="J216"/>
    <hyperlink r:id="rId216" ref="J217"/>
    <hyperlink r:id="rId217" ref="J218"/>
    <hyperlink r:id="rId218" ref="J219"/>
    <hyperlink r:id="rId219" ref="J220"/>
    <hyperlink r:id="rId220" ref="J221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  <hyperlink r:id="rId236" ref="J237"/>
    <hyperlink r:id="rId237" ref="J238"/>
    <hyperlink r:id="rId238" ref="J239"/>
    <hyperlink r:id="rId239" ref="J240"/>
    <hyperlink r:id="rId240" ref="J241"/>
    <hyperlink r:id="rId241" ref="J242"/>
    <hyperlink r:id="rId242" ref="J243"/>
    <hyperlink r:id="rId243" ref="J244"/>
    <hyperlink r:id="rId244" ref="J245"/>
    <hyperlink r:id="rId245" ref="J246"/>
    <hyperlink r:id="rId246" ref="J247"/>
    <hyperlink r:id="rId247" ref="J248"/>
    <hyperlink r:id="rId248" ref="J249"/>
    <hyperlink r:id="rId249" ref="J250"/>
    <hyperlink r:id="rId250" ref="J251"/>
    <hyperlink r:id="rId251" ref="J252"/>
    <hyperlink r:id="rId252" ref="J253"/>
    <hyperlink r:id="rId253" ref="J254"/>
    <hyperlink r:id="rId254" ref="J255"/>
    <hyperlink r:id="rId255" ref="J256"/>
    <hyperlink r:id="rId256" ref="J257"/>
    <hyperlink r:id="rId257" ref="J258"/>
    <hyperlink r:id="rId258" ref="J259"/>
    <hyperlink r:id="rId259" ref="J260"/>
    <hyperlink r:id="rId260" ref="J261"/>
  </hyperlinks>
  <drawing r:id="rId261"/>
  <tableParts count="1">
    <tablePart r:id="rId263"/>
  </tableParts>
</worksheet>
</file>