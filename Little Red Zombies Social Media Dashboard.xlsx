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Instagram" sheetId="2" r:id="rId6"/>
    <sheet state="visible" name="LinkedIn" sheetId="3" r:id="rId7"/>
    <sheet state="visible" name="X" sheetId="4" r:id="rId8"/>
    <sheet state="visible" name="ArtStation" sheetId="5" r:id="rId9"/>
    <sheet state="visible" name="engagement" sheetId="6" r:id="rId10"/>
    <sheet state="visible" name="summary" sheetId="7" r:id="rId11"/>
    <sheet state="visible" name="dashboard" sheetId="8" r:id="rId12"/>
  </sheets>
  <definedNames/>
  <calcPr/>
</workbook>
</file>

<file path=xl/sharedStrings.xml><?xml version="1.0" encoding="utf-8"?>
<sst xmlns="http://schemas.openxmlformats.org/spreadsheetml/2006/main" count="3869" uniqueCount="1140">
  <si>
    <t>The entries in this README are scoped exclusively to decisions made within this Google Sheet. Broader project decisions, including data collection methodology, platform selection, assumptions, and key insights, are covered in the written summary.</t>
  </si>
  <si>
    <t>Tab</t>
  </si>
  <si>
    <t>Contents</t>
  </si>
  <si>
    <t>Decision</t>
  </si>
  <si>
    <t>Explaination</t>
  </si>
  <si>
    <t>Instagram</t>
  </si>
  <si>
    <t>Data scraped from LRZs instagram account, cleaned programmatically (data_cleaning.ipynb)</t>
  </si>
  <si>
    <t>Column Deletion</t>
  </si>
  <si>
    <t>id's were deleted from instagram and X, due to duplication</t>
  </si>
  <si>
    <t>LinkedIn</t>
  </si>
  <si>
    <t>Data scraped from LRZs linkedin account, cleaned programmatically (data_cleaning.ipynb)</t>
  </si>
  <si>
    <t>Data Fill (engagement: views)</t>
  </si>
  <si>
    <t xml:space="preserve">We don't have view counts on the instagram in LinkedIn posts. Views are a key engagement metric and would be available in any internal project through the backend (Instagram insights/API/LinkedIn Analytics). As such, we will be filling in that data using the average view-to-like ratio adjusted based on follow count and content type. Since the audience for LRZs posts are most probably a dedicated fanbase of either their work or the games they've worked on, we are adjusting the average rate i.e. 1-4% to 4% for instagram, since the platform lends itself to visual arts, and 2.5% for LinkedIn. </t>
  </si>
  <si>
    <t>X</t>
  </si>
  <si>
    <t>Data scraped from LRZs X account, cleaned programmatically (data_cleaning.ipynb)</t>
  </si>
  <si>
    <t>Lack of Data Fill (engagement: shares_retweets)</t>
  </si>
  <si>
    <t>While this is a key engagement metric, like views, it is much harder to estimate via ratios and trends; mainly due to this action being a very strong indicator of engagement. It potentially can be filled, but doing so will require a longer, deeper analysis of the given data and more. As such, to avoid skewing the data too far from reality, it has been left blank.</t>
  </si>
  <si>
    <t>ArtStation</t>
  </si>
  <si>
    <t>Data scraped from LRZs ArtStation account</t>
  </si>
  <si>
    <t>Twitter data generalized classification</t>
  </si>
  <si>
    <t>In the engagement tab, where common engagement metrics are aggregated across all platforms, I've logged tweet replies as comments and retweets and quote tweets as shares; based on how they're typically used and how these actions effect engagement with the post.</t>
  </si>
  <si>
    <t>engagement</t>
  </si>
  <si>
    <t xml:space="preserve">Data consolidated from the four data sources, specifically pertaining to user engagement with each post on each platform. </t>
  </si>
  <si>
    <t>engagement_rate formula</t>
  </si>
  <si>
    <t xml:space="preserve">Formula: (interactions / views) × 100. I used the reach based of the typical engagement rate formula as this is more honest, as opposed to the follower based that artificially deflates the rate; hence the views in the denominator. Likes, comments and shares/retweets signal engagement, with likes having the least and shares having the highest level of engagement. </t>
  </si>
  <si>
    <t>summary</t>
  </si>
  <si>
    <t>Contains helper tables for the dashboard visualizations, the contents of which are derived from the "engagement" tab.</t>
  </si>
  <si>
    <t>X data murkiness</t>
  </si>
  <si>
    <t>X dataset found to contain duplicate entries late in the process, likely a scraper pagination artifact. Data noted as potentially unreliable; recommend re-scraping with validated parameters for production use.</t>
  </si>
  <si>
    <t>dashboard</t>
  </si>
  <si>
    <t>Contains the actual dashboard; consisting of a KPI strip, two line graphs, two bar charts and a summary table. The table and one of the line graphs ("Likes and Views OVer Time" and "Top 10 Posts") have a platform slicer (cell L4) that allows viewers to individually view the relevant statistics of each platform.</t>
  </si>
  <si>
    <t>month_year pasted as values</t>
  </si>
  <si>
    <t>originally formula-driven, converted to static text to enable chronological sorting since formulas snap back on sort</t>
  </si>
  <si>
    <t>N/A vs empty strings in charts</t>
  </si>
  <si>
    <t>N/A text values break numeric chart series</t>
  </si>
  <si>
    <t>Visualization selection</t>
  </si>
  <si>
    <t>Five visualizations were chosen to cover three distinct analytical lenses without redundancy. Posting Frequency by Month and Views &amp; Likes Over Time address activity patterns and growth over time. Average Engagement Rate by Platform and Total Engagement by Platform together show both efficiency and raw volume. The Top 10 Posts table adds a drill-down layer for stakeholders who want to investigate specific content.</t>
  </si>
  <si>
    <t>shortCode</t>
  </si>
  <si>
    <t>url</t>
  </si>
  <si>
    <t>type</t>
  </si>
  <si>
    <t>timestamp</t>
  </si>
  <si>
    <t>likesCount</t>
  </si>
  <si>
    <t>commentsCount</t>
  </si>
  <si>
    <t>caption</t>
  </si>
  <si>
    <t>hashtags</t>
  </si>
  <si>
    <t>DSFIFKpEmJE</t>
  </si>
  <si>
    <t>https://www.instagram.com/p/DSFIFKpEmJE/</t>
  </si>
  <si>
    <t>Image</t>
  </si>
  <si>
    <t>2025-12-10T10:46:36.000Z</t>
  </si>
  <si>
    <t>The Game Awards 2025 is almost here, and it’s exciting to see some of the titles we worked on nominated this year.
 We’re incredibly proud to have been part of the journey on these. Congratulations to everyone and best of luck to all the nominees. We're cheering for you! 
 [The Game Awards, The Game Awards 2025 TGA2025, TGA, External Development, Game Dev, Game Outsourcing, Little Red Zombies]</t>
  </si>
  <si>
    <t>DWgzWT3krsg</t>
  </si>
  <si>
    <t>https://www.instagram.com/p/DWgzWT3krsg/</t>
  </si>
  <si>
    <t>Sidecar</t>
  </si>
  <si>
    <t>2026-03-30T14:49:45.000Z</t>
  </si>
  <si>
    <t>Part 2 of our Hair contribution in @obsidian Avowed, we're very grateful for the trust they placed in us during this extensive collaboration, and proud to be a part of a title nominated for the Best RPG at @thegameawards 2025. 
 Explore the featured hairstyles on our ArtStation via the link in bio. 
 [Avowed, ObsidianEntertainment, GameArt, CharacterArt, HairArt, RPG, TheGameAwards2025, LittleRedZombies, LRZ]</t>
  </si>
  <si>
    <t>DRKVsCKEjL9</t>
  </si>
  <si>
    <t>https://www.instagram.com/p/DRKVsCKEjL9/</t>
  </si>
  <si>
    <t>2025-11-17T14:50:19.000Z</t>
  </si>
  <si>
    <t>Call of Duty: Black Ops 7 is out, and we’re thrilled to share that Little Red Zombies had the opportunity to contribute once again to one of gaming’s most iconic franchises.
 Being part of a series that has played such a meaningful role in LRZ’s journey is something we value deeply.
 A huge shoutout to everyone involved in bringing this new chapter of Call of Duty to life! 
 #callofduty #callofdutyblackops #callofdutyblackops7 #lrz #littleredzombies</t>
  </si>
  <si>
    <t>callofduty, callofdutyblackops, callofdutyblackops7, lrz, littleredzombies</t>
  </si>
  <si>
    <t>DWgyRJ5ks-I</t>
  </si>
  <si>
    <t>https://www.instagram.com/p/DWgyRJ5ks-I/</t>
  </si>
  <si>
    <t>2026-03-30T14:40:19.000Z</t>
  </si>
  <si>
    <t>We’re excited to share our work on Avowed, our first collaboration with @obsidian .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(link in bio).
 [Avowed, ObsidianEntertainment, GameArt, CharacterArt, HairArt, RPG, TheGameAwards2025, LittleRedZombies, LRZ]</t>
  </si>
  <si>
    <t>DSsTgwHktZh</t>
  </si>
  <si>
    <t>https://www.instagram.com/p/DSsTgwHktZh/</t>
  </si>
  <si>
    <t>2025-12-25T15:56:52.000Z</t>
  </si>
  <si>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t>
  </si>
  <si>
    <t>DWmBus7Et7y</t>
  </si>
  <si>
    <t>https://www.instagram.com/p/DWmBus7Et7y/</t>
  </si>
  <si>
    <t>2026-04-01T15:31:37.000Z</t>
  </si>
  <si>
    <t>Here’s more from our work on Avowed, our first collaboration with @obsidian
 Alongside hair and fauna work, LRZ also contributed to creatures featured across the game’s environments and gameplay, helping bring more life and variety to the world.
 We’re grateful to Obsidian Entertainment for trusting us during this collaboration, and proud to have been part of a title nominated for Best RPG at The Game Awards 2025.
 [Avowed, ObsidianEntertainment, GameArt, CharacterArt, HairArt, RPG, TheGameAwards2025, LittleRedZombies, LRZ]</t>
  </si>
  <si>
    <t>DUlLKZVkmno</t>
  </si>
  <si>
    <t>https://www.instagram.com/p/DUlLKZVkmno/</t>
  </si>
  <si>
    <t>2026-02-10T14:32:01.000Z</t>
  </si>
  <si>
    <t>@gdsummitasia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 2026, GameDev, Outsourcing, ExternalDevelopment, LittleRedZombies, LRZ]</t>
  </si>
  <si>
    <t>DWmBTRAkoMZ</t>
  </si>
  <si>
    <t>https://www.instagram.com/p/DWmBTRAkoMZ/</t>
  </si>
  <si>
    <t>2026-04-01T15:27:52.000Z</t>
  </si>
  <si>
    <t>Here’s more from our work on Avowed, our first collaboration with @obsidian
 Alongside hair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[Avowed, ObsidianEntertainment, GameArt, CharacterArt, Creatures, RPG, TheGameAwards2025, LittleRedZombies, LRZ]</t>
  </si>
  <si>
    <t>DNDotBzvyck</t>
  </si>
  <si>
    <t>https://www.instagram.com/p/DNDotBzvyck/</t>
  </si>
  <si>
    <t>2025-08-07T14:16:13.000Z</t>
  </si>
  <si>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for their continued support.
 It was a rewarding process shaping this group of characters for the story.
 Head to our ArtStation (link in bio) for a closer, hi-res look at all the characters' fur!
 #SplitFiction #HazelightStudios #Hair #Fur #MonkeyKing #CharacterArt #CharacterDesign #RealTime</t>
  </si>
  <si>
    <t>SplitFiction, HazelightStudios, Hair, Fur, MonkeyKing, CharacterArt, CharacterDesign, RealTime</t>
  </si>
  <si>
    <t>DOqfG63Euxl</t>
  </si>
  <si>
    <t>https://www.instagram.com/p/DOqfG63Euxl/</t>
  </si>
  <si>
    <t>2025-09-16T12:54:09.000Z</t>
  </si>
  <si>
    <t>We are excited to share that Little Red Zombies will be participating in the @tokyo_game_show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https://www.artstation.com/littleredzombies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https://www.artstation.com/littleredzombies
 #tgs #tokyogameshow #lrz #littleredzombies</t>
  </si>
  <si>
    <t>tgs, tokyogameshow, lrz, littleredzombies</t>
  </si>
  <si>
    <t>DNnjiykvUhq</t>
  </si>
  <si>
    <t>https://www.instagram.com/p/DNnjiykvUhq/</t>
  </si>
  <si>
    <t>2025-08-21T13:03:47.000Z</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</si>
  <si>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medieval armor and tabard!</t>
  </si>
  <si>
    <t>DNDq8MMqoad</t>
  </si>
  <si>
    <t>https://www.instagram.com/p/DNDq8MMqoad/</t>
  </si>
  <si>
    <t>2025-08-07T14:35:46.000Z</t>
  </si>
  <si>
    <t>A look at the fur pass for the Ice King, one of the central antagonists in Split Fiction. Built to match the visual tone of Zoe’s fantasy realm, this character was a key piece of the game’s narrative arc.
 Special thanks to Character Art Director Jacob Larsson and the Hazelight team for the collaboration.
 Really appreciate the trust and feedback that helped bring the Ice King to life.
 Head to our ArtStation (link in bio) for a closer, hi-res look at the Ice King's fur! 
 #SplitFiction #HazelightStudios #Hair #IceKing #CharacterArt #CharacterDesign #RealTime #LittleRedZombies #LRZ #GameArt</t>
  </si>
  <si>
    <t>SplitFiction, HazelightStudios, Hair, IceKing, CharacterArt, CharacterDesign, RealTime, LittleRedZombies, LRZ, GameArt</t>
  </si>
  <si>
    <t>DP6YhSsku6r</t>
  </si>
  <si>
    <t>https://www.instagram.com/p/DP6YhSsku6r/</t>
  </si>
  <si>
    <t>2025-10-17T13:35:49.000Z</t>
  </si>
  <si>
    <t>From all of us at Little Red Zombies, wishing you a wonderful Diwali filled with joy and success! ✨</t>
  </si>
  <si>
    <t>DNnkStwvakl</t>
  </si>
  <si>
    <t>https://www.instagram.com/p/DNnkStwvakl/</t>
  </si>
  <si>
    <t>2025-08-21T13:10:20.000Z</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</si>
  <si>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blacksmith's outfit!
 #MainframeIndustries #Medieval #Outfits #PaxDei #MMO #Sandbox #LittleRedZombies #LRZ</t>
  </si>
  <si>
    <t>MainframeIndustries, Medieval, Outfits, PaxDei, MMO, Sandbox, LittleRedZombies, LRZ</t>
  </si>
  <si>
    <t>DQhLQ9xkkqD</t>
  </si>
  <si>
    <t>https://www.instagram.com/p/DQhLQ9xkkqD/</t>
  </si>
  <si>
    <t>2025-11-01T15:10:22.000Z</t>
  </si>
  <si>
    <t>This Halloween at LRZ, we took a breather, winding down, relaxing, and enjoying the spooky atmosphere with the team. It was a simple and cozy celebration that let everyone slow down and soak in the Halloween spirit together. 
 #littleredzombies #lrz #halloween #halloween2025</t>
  </si>
  <si>
    <t>littleredzombies, lrz, halloween, halloween2025</t>
  </si>
  <si>
    <t>DOV_mVfkrsC</t>
  </si>
  <si>
    <t>https://www.instagram.com/p/DOV_mVfkrsC/</t>
  </si>
  <si>
    <t>2025-09-08T13:54:00.000Z</t>
  </si>
  <si>
    <t>✨ What an incredible week at @xdsummit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the Tokyo Game Show next week, and to more milestones ahead! 
 #XDS #XDS2025 #gamedev #externaldevelopment #LittleRedZombies #characterart</t>
  </si>
  <si>
    <t>XDS, XDS2025, gamedev, externaldevelopment, LittleRedZombies, characterart</t>
  </si>
  <si>
    <t>DRjy3agEixU</t>
  </si>
  <si>
    <t>https://www.instagram.com/p/DRjy3agEixU/</t>
  </si>
  <si>
    <t>2025-11-27T12:06:17.000Z</t>
  </si>
  <si>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</si>
  <si>
    <t>DUbBPEBEk9K</t>
  </si>
  <si>
    <t>https://www.instagram.com/p/DUbBPEBEk9K/</t>
  </si>
  <si>
    <t>2026-02-06T15:52:52.000Z</t>
  </si>
  <si>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(link in bio) for hi-res shots of the featured hairstyles!
 [TheOuterWorlds2, ObsidianEntertainment, GameArt, CharacterArt, HairArt, RPG LittleRedZombies, LRZ]</t>
  </si>
  <si>
    <t>DV7xZFnkoNz</t>
  </si>
  <si>
    <t>https://www.instagram.com/p/DV7xZFnkoNz/</t>
  </si>
  <si>
    <t>2026-03-16T05:40:49.000Z</t>
  </si>
  <si>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t>
  </si>
  <si>
    <t>DMIQCNGxgkT</t>
  </si>
  <si>
    <t>https://www.instagram.com/p/DMIQCNGxgkT/</t>
  </si>
  <si>
    <t>2025-07-15T12:45:28.000Z</t>
  </si>
  <si>
    <t>We’ll be heading to Vancouver this September for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 we’d love to connect.
 #xds2025 #xds #externaldevelopmentsummit #goldsponsor #littleredzombies #gameart #AAA #gamedevelopment #gamedev #outsourcing #lrz #littleredzombies</t>
  </si>
  <si>
    <t>xds2025, xds, externaldevelopmentsummit, goldsponsor, littleredzombies, gameart, AAA, gamedevelopment, gamedev, outsourcing, lrz</t>
  </si>
  <si>
    <t>DMz1j-NPtKw</t>
  </si>
  <si>
    <t>https://www.instagram.com/p/DMz1j-NPtKw/</t>
  </si>
  <si>
    <t>2025-08-01T11:00:43.000Z</t>
  </si>
  <si>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(link in bio) for a closer, hi-res look at each of these NPC's hairstyles. 
 #SplitFiction #HazelightStudios #Hair #npc #CharacterArt #CharacterDesign #RealTime #LittleRedZombies #LRZ</t>
  </si>
  <si>
    <t>SplitFiction, HazelightStudios, Hair, npc, CharacterArt, CharacterDesign, RealTime, LittleRedZombies, LRZ</t>
  </si>
  <si>
    <t>DMxnGjHvuoM</t>
  </si>
  <si>
    <t>https://www.instagram.com/p/DMxnGjHvuoM/</t>
  </si>
  <si>
    <t>2025-07-31T14:15:53.000Z</t>
  </si>
  <si>
    <t>Here’s a look at our hair work for Mio, one of the main playable characters in Split Fiction.
 This was a key piece within our broader scope on the project, and part of what we’re proud to call LRZ’s best Hair work to date.
 Appreciation to Jacob Larsson (Character Art Director) and the Hazelight team for their steady feedback and collaboration throughout.
 Head to our ArtStation (link in bio) for a closer look at Zoe's hairstyle! 
 #SplitFiction #HazelightStudios #Hair #Mio #CharacterArt #CharacterDesign #RealTime #LittleRedZombies #LRZ</t>
  </si>
  <si>
    <t>SplitFiction, HazelightStudios, Hair, Mio, CharacterArt, CharacterDesign, RealTime, LittleRedZombies, LRZ</t>
  </si>
  <si>
    <t>DMhrDvGPEat</t>
  </si>
  <si>
    <t>https://www.instagram.com/p/DMhrDvGPEat/</t>
  </si>
  <si>
    <t>2025-07-25T09:42:37.000Z</t>
  </si>
  <si>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(link in bio) for a closer, high resolution look at Dr. Diana Marmont's hair.
 #AlanWake2 #TheLakeHouse #RemedyEntertainment #LittleRedZombies #GameArt #CharacterArt #NPCDesign #OutsourcingStudio #GameDev #LRZ</t>
  </si>
  <si>
    <t>AlanWake2, TheLakeHouse, RemedyEntertainment, LittleRedZombies, GameArt, CharacterArt, NPCDesign, OutsourcingStudio, GameDev, LRZ</t>
  </si>
  <si>
    <t>DMNlwlEvy6R</t>
  </si>
  <si>
    <t>https://www.instagram.com/p/DMNlwlEvy6R/</t>
  </si>
  <si>
    <t>2025-07-17T14:31:30.000Z</t>
  </si>
  <si>
    <t>Presenting Ghost Town - Little Red Zombies' first native VR title contribution!
 We’re incredibly proud to have collaborated with the amazing team at Fireproof Games,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</si>
  <si>
    <t>littleredzombies, ghosttownvr, fireproofstudios, vrgaming, hairart, characterart, gamedev, gameart, lrz</t>
  </si>
  <si>
    <t>DMe16yyPFsC</t>
  </si>
  <si>
    <t>https://www.instagram.com/p/DMe16yyPFsC/</t>
  </si>
  <si>
    <t>2025-07-24T07:19:47.000Z</t>
  </si>
  <si>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(link in bio) for a closer, high resolution look at the FBC Scientist's outfits.
 #AlanWake2 #LakeHouse #RemedyEntertainment #LittleRedZombies #GameArt #CharacterArt #NPCDesign #OutsourcingStudio #GameDev #LRZ</t>
  </si>
  <si>
    <t>AlanWake2, LakeHouse, RemedyEntertainment, LittleRedZombies, GameArt, CharacterArt, NPCDesign, OutsourcingStudio, GameDev, LRZ</t>
  </si>
  <si>
    <t>DMxniOFPeun</t>
  </si>
  <si>
    <t>https://www.instagram.com/p/DMxniOFPeun/</t>
  </si>
  <si>
    <t>2025-07-31T14:19:40.000Z</t>
  </si>
  <si>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(Character Art Director) and the Hazelight team for their collaboration and clear guidance through every review stage.
 Head to our ArtStation (link in bio) for a closer look at Rader's hairstyle! 
 #SplitFiction #HazelightStudios #Hair #Rader #CharacterArt #CharacterDesign #RealTime #LittleRedZombies #LRZ</t>
  </si>
  <si>
    <t>SplitFiction, HazelightStudios, Hair, Rader, CharacterArt, CharacterDesign, RealTime, LittleRedZombies, LRZ</t>
  </si>
  <si>
    <t>DIjQVQWPXxk</t>
  </si>
  <si>
    <t>https://www.instagram.com/p/DIjQVQWPXxk/</t>
  </si>
  <si>
    <t>2025-04-17T14:21:59.000Z</t>
  </si>
  <si>
    <t>We're wrapping up our Call of Duty: Black Ops 6 campaign with one final post — and this time, we’re heading into Multiplayer!
 Take a look at the unique hairstyles crafted by our team for Tess Bailey &amp; Tamira “Westpoint” Chambers — two standout Multiplayer Operators, each designed with distinct personality and presence.
 It’s been an absolute privilege working on this title, and we’re grateful for the opportunity to contribute across both story and multiplayer experiences.
 Head to our ArtStation (link in bio) to check out our final drop from Call of Duty: Black Ops 6
 Thanks for following along— we can’t wait to show you what’s next! :)
 #cod #callofduty #blackop6 #blackops #callofdutyblackops6 #characterart
 #characterdesign #lrz #littleredzombies</t>
  </si>
  <si>
    <t>cod, callofduty, blackop6, blackops, callofdutyblackops6, characterart, characterdesign, lrz, littleredzombies</t>
  </si>
  <si>
    <t>DMe2eT4PLoV</t>
  </si>
  <si>
    <t>https://www.instagram.com/p/DMe2eT4PLoV/</t>
  </si>
  <si>
    <t>2025-07-24T07:24:38.000Z</t>
  </si>
  <si>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opportunity to contribute to such an atmospheric world.
 Head to our ArtStation (link in bio) for a closer, high resolution look at the FBC Hazmat Suit.
 #AlanWake2 #LakeHouse #RemedyEntertainment #LittleRedZombies #GameArt #CharacterArt #NPCDesign #OutsourcingStudio #GameDev #LRZ</t>
  </si>
  <si>
    <t>DQodvqxkmtx</t>
  </si>
  <si>
    <t>https://www.instagram.com/p/DQodvqxkmtx/</t>
  </si>
  <si>
    <t>2025-11-04T11:06:32.000Z</t>
  </si>
  <si>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</si>
  <si>
    <t>MIGS, MIGS25, MIGS2025, GameDev, ArtOutsourcing, BusinessDevelopment, CharacterArt, Networking, LittleRedZombies, AAA</t>
  </si>
  <si>
    <t>DNnj5ZHPWM3</t>
  </si>
  <si>
    <t>https://www.instagram.com/p/DNnj5ZHPWM3/</t>
  </si>
  <si>
    <t>2025-08-21T13:06:52.000Z</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</si>
  <si>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doublet &amp; leather armor!
 #MainframeIndustries #Medieval #Outfits #PaxDei #MMO #Sandbox #LittleRedZombies #LRZ</t>
  </si>
  <si>
    <t>DPEVVGrEuen</t>
  </si>
  <si>
    <t>https://www.instagram.com/p/DPEVVGrEuen/</t>
  </si>
  <si>
    <t>2025-09-26T13:48:57.000Z</t>
  </si>
  <si>
    <t>Our first-ever Tokyo Game Show has been an incredible experience. The Business Days gave us the opportunity to meet studios, share our work, and build new connections.
 A big thank you to everyone we met, from partners and developers, for making it such a rewarding beginning to our journey at TGS 2025. We leave the Business Days inspired and excited for what lies ahead.
 #TGS #TGS2025 #TokyoGameShow #GameArt #AAA #CharacterArt #LittleRedZombies #LRZ</t>
  </si>
  <si>
    <t>TGS, TGS2025, TokyoGameShow, GameArt, AAA, CharacterArt, LittleRedZombies, LRZ</t>
  </si>
  <si>
    <t>DNDoYiCPpMG</t>
  </si>
  <si>
    <t>https://www.instagram.com/p/DNDoYiCPpMG/</t>
  </si>
  <si>
    <t>2025-08-07T14:13:25.000Z</t>
  </si>
  <si>
    <t>The Baby Bird plays a key role in gameplay progression and required a strong sense of presence within the world. This post highlights our fur work on the character, designed to support its place in both story and mechanics.
 Thanks to Jacob Larsson and the Hazelight team for their continued collaboration.
 Proud to share this part of the work and grateful for the trust placed in the team.
 Head to our ArtStation (link in bio) for a closer, hi-res look at Baby Bird's feathers!
 #SplitFiction #HazelightStudios #Hair #CharacterArt #CharacterDesign #RealTime #LittleRedZombies #LRZ #GameArt #NPC #Fauna</t>
  </si>
  <si>
    <t>SplitFiction, HazelightStudios, Hair, CharacterArt, CharacterDesign, RealTime, LittleRedZombies, LRZ, GameArt, NPC, Fauna</t>
  </si>
  <si>
    <t>DT2noQ_kqS4</t>
  </si>
  <si>
    <t>https://www.instagram.com/p/DT2noQ_kqS4/</t>
  </si>
  <si>
    <t>2026-01-23T12:36:27.000Z</t>
  </si>
  <si>
    <t>We’re thrilled to share that Little Red Zombies will be heading to the Philippines in February to continue our participation at the GameDev Summit (GDS) 2026.
 Representing LRZ on the ground will be our Studio Head, Naky Solanki, and Strategy Manager, Anil Bhola.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</si>
  <si>
    <t>DMz0ufwvrOT</t>
  </si>
  <si>
    <t>https://www.instagram.com/p/DMz0ufwvrOT/</t>
  </si>
  <si>
    <t>2025-08-01T10:53:25.000Z</t>
  </si>
  <si>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(link in bio) for a closer, hi-res look at each NPC's hairstyles.
 #SplitFiction #HazelightStudios #Hair #Rader #CharacterArt #CharacterDesign #RealTime #LittleRedZombies #LRZ</t>
  </si>
  <si>
    <t>DMxmzVkPUyr</t>
  </si>
  <si>
    <t>https://www.instagram.com/p/DMxmzVkPUyr/</t>
  </si>
  <si>
    <t>2025-07-31T14:13:16.000Z</t>
  </si>
  <si>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(Character Art Director) and the Hazelight team for the detailed feedback and close collaboration throughout.
 Head to our Artstation (link in bio) for a closer look at Zoe &amp; the Fairy's hairstyles! 
 #SplitFiction #HazelightStudios #Hair #Zoe #CharacterArt #CharacterDesign #RealTime #LittleRedZombies #LRZ</t>
  </si>
  <si>
    <t>SplitFiction, HazelightStudios, Hair, Zoe, CharacterArt, CharacterDesign, RealTime, LittleRedZombies, LRZ</t>
  </si>
  <si>
    <t>DH5yq6fPXaw</t>
  </si>
  <si>
    <t>https://www.instagram.com/p/DH5yq6fPXaw/</t>
  </si>
  <si>
    <t>2025-04-01T11:53:56.000Z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</si>
  <si>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Joker! 
 #suicidesquad #killthejusticeleague #justiceleague #dc #batman #superman #wonderwoman #characterart #characterdesign #arkham #rocksteady #lrz #littleredzombies</t>
  </si>
  <si>
    <t>suicidesquad, killthejusticeleague, justiceleague, dc, batman, superman, wonderwoman, characterart, characterdesign, arkham, rocksteady</t>
  </si>
  <si>
    <t>DH8eMVtPqmB</t>
  </si>
  <si>
    <t>https://www.instagram.com/p/DH8eMVtPqmB/</t>
  </si>
  <si>
    <t>2025-04-02T12:52:43.000Z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</si>
  <si>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Phantom faction!
 #ubisoft #ubisoftSFO #xdefiant #characterart #characterdesign #charactermodelling #lrz #littleredzombies</t>
  </si>
  <si>
    <t>ubisoft, ubisoftSFO, xdefiant, characterart, characterdesign, charactermodelling, lrz, littleredzombies</t>
  </si>
  <si>
    <t>DIeE5rSPYqu</t>
  </si>
  <si>
    <t>https://www.instagram.com/p/DIeE5rSPYqu/</t>
  </si>
  <si>
    <t>2025-04-15T14:05:53.000Z</t>
  </si>
  <si>
    <t>We’re back with another look at our work on Call of Duty: Black Ops 6!
 This update features three distinctive hairstyles created for two of the game's campaign characters — Jane Harrow and Daniel Livingstone.
 Head to our ArtStation (link in bio) for a closer, high-resolution look at their hairstyles.
 #cod #callofduty #blackop6 #blackops #callofdutyblackops6 #characterart #characterdesign #lrz #littleredzombies</t>
  </si>
  <si>
    <t>DH8w7O_qjra</t>
  </si>
  <si>
    <t>https://www.instagram.com/p/DH8w7O_qjra/</t>
  </si>
  <si>
    <t>2025-04-02T15:36:24.000Z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</si>
  <si>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libertad faction!
 #ubisoft #ubisoftSFO #xdefiant #characterart #characterdesign #charactermodelling #lrz #littleredzombies</t>
  </si>
  <si>
    <t>DIB2MUKPVJK</t>
  </si>
  <si>
    <t>https://www.instagram.com/p/DIB2MUKPVJK/</t>
  </si>
  <si>
    <t>2025-04-04T14:58:38.000Z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</si>
  <si>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GS Kommando faction!
 #ubisoft #ubisoftSFO #xdefiant #characterart #characterdesign #charactermodelling #lrz #littleredzombies</t>
  </si>
  <si>
    <t>DIMFbNuPaGq</t>
  </si>
  <si>
    <t>https://www.instagram.com/p/DIMFbNuPaGq/</t>
  </si>
  <si>
    <t>2025-04-08T14:24:08.000Z</t>
  </si>
  <si>
    <t>We're excited to finally share our contribution to Call of Duty: Black Ops 6!
 From intense story moments to high-energy multiplayer action, we had the incredible opportunity to work across both campaign characters and operators—bringing a wide range of hairstyles to life for this title.
 A huge thank you to Julia Corsi, Elise Drinkwater, Eli Hathaway, and Scott Wells—whose guidance and collaboration made this a truly rewarding
 project for the team at LRZ.
 Check out our ArtStation ( link in bio) for a closer look at the hairstyles we crafted for some of Black Ops 6's story characters! 
 #cod #callofduty #callofdutyblackops6 #blackops #activision #characterart #characterdesign #multiplayer #littleredzombies #lrz</t>
  </si>
  <si>
    <t>cod, callofduty, callofdutyblackops6, blackops, activision, characterart, characterdesign, multiplayer, littleredzombies, lrz</t>
  </si>
  <si>
    <t>DH6ERglP4HC</t>
  </si>
  <si>
    <t>https://www.instagram.com/p/DH6ERglP4HC/</t>
  </si>
  <si>
    <t>2025-04-01T14:27:45.000Z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</si>
  <si>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story characters we made for thr game! 
 #suicidesquad #killthejusticeleague #justiceleague #dc #batman #superman #wonderwoman #characterart #characterdesign #arkham #rocksteady #lrz #littleredzombies</t>
  </si>
  <si>
    <t>DIRLk-xvI3R</t>
  </si>
  <si>
    <t>https://www.instagram.com/p/DIRLk-xvI3R/</t>
  </si>
  <si>
    <t>2025-04-10T13:54:06.000Z</t>
  </si>
  <si>
    <t>Two distinct looks. One Character. 
 More from the campaign of Call of Duty: Black Ops 6—here’s a look at Sevati Dumas, featuring two distinct hairstyles crafted by our team at LRZ.
 Head to our ArtStation (link in bio) for a closer, high resolution look at Sevati Dumas' hair style.
 Stay tuned for what's coming next!
 #cod #callofduty #blackops6 #blackops #callofdutyblackops6 #characterart #characterdesign #lrz #littleredzombies</t>
  </si>
  <si>
    <t>cod, callofduty, blackops6, blackops, callofdutyblackops6, characterart, characterdesign, lrz, littleredzombies</t>
  </si>
  <si>
    <t>DIBfKnjPaca</t>
  </si>
  <si>
    <t>https://www.instagram.com/p/DIBfKnjPaca/</t>
  </si>
  <si>
    <t>2025-04-04T11:37:25.000Z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</si>
  <si>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Cleaners faction!
 #ubisoft #ubisoftSFO #xdefiant #characterart #characterdesign #charactermodelling #lrz #littleredzombies</t>
  </si>
  <si>
    <t>DH_NakmPF2P</t>
  </si>
  <si>
    <t>https://www.instagram.com/p/DH_NakmPF2P/</t>
  </si>
  <si>
    <t>2025-04-03T14:23:50.000Z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</si>
  <si>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Dedsec faction!
 #ubisoft #ubisoftSFO #xdefiant #characterart #characterdesign #charactermodelling #lrz #littleredzombies</t>
  </si>
  <si>
    <t>DH6DdBfv4KQ</t>
  </si>
  <si>
    <t>https://www.instagram.com/p/DH6DdBfv4KQ/</t>
  </si>
  <si>
    <t>2025-04-01T14:20:35.000Z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</si>
  <si>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Mrs. Freeze!
 #suicidesquad #killthejusticeleague #justiceleague #dc #batman #superman #wonderwoman #characterart #characterdesign #arkham #rocksteady #lrz #littleredzombies</t>
  </si>
  <si>
    <t>DNDoON_vXWF</t>
  </si>
  <si>
    <t>https://www.instagram.com/p/DNDoON_vXWF/</t>
  </si>
  <si>
    <t>2025-08-07T14:12:00.000Z</t>
  </si>
  <si>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(link in bio) for a closer, hi-res look at the Swamp Bird's feathers!
 #SplitFiction #HazelightStudios #Hair #CharacterArt #CharacterDesign #RealTime #LittleRedZombies #LRZ #GameArt #NPC #Fauna</t>
  </si>
  <si>
    <t>DHTce04vyrf</t>
  </si>
  <si>
    <t>https://www.instagram.com/p/DHTce04vyrf/</t>
  </si>
  <si>
    <t>2025-03-17T14:28:54.000Z</t>
  </si>
  <si>
    <t>Drawing from the legend of Beatriz Ribeiro Valente, a creature of fire trapped underwater, Biatata's design captures the essence of a fiery spirit rising from the depths to set the world ablaze.
 Check out our ArtStation (link in bio) for a closer look at Biatata!
 #crytek #huntshowdown #cryengine #biatata #legendaryhunter #lrz #littleredzombies</t>
  </si>
  <si>
    <t>crytek, huntshowdown, cryengine, biatata, legendaryhunter, lrz, littleredzombies</t>
  </si>
  <si>
    <t>DHWJb3zyxm5</t>
  </si>
  <si>
    <t>https://www.instagram.com/p/DHWJb3zyxm5/</t>
  </si>
  <si>
    <t>2025-03-18T15:40:12.000Z</t>
  </si>
  <si>
    <t>Wrapping up our Hunt: Showdown showcase today with a final batch of character reveals!
 A solitary figure of the deep woods, The Waldmann embodies the primal connection to nature. His design reflects a life intertwined with the forest, where survival is dictated by understanding the wild.
 Check out our ArtStation (link in bio) for a closer look at The Waldmann!
 #crytek #huntshowdown #cryengine #thewaldmann #legendaryhunter #lrz #littleredzombies</t>
  </si>
  <si>
    <t>crytek, huntshowdown, cryengine, thewaldmann, legendaryhunter, lrz, littleredzombies</t>
  </si>
  <si>
    <t>DHVqJHUPTOW</t>
  </si>
  <si>
    <t>https://www.instagram.com/p/DHVqJHUPTOW/</t>
  </si>
  <si>
    <t>2025-03-18T11:06:45.000Z</t>
  </si>
  <si>
    <t>Wrapping up our Hunt: Showdown showcase today with a final batch of character reveals!
 Embodying the ancient Alpine spirit of retribution, Perchta Dawn's presence at dawn signifies judgment. Her design captures the essence of
 a myth where the benevolent are rewarded, and the wicked face her blade.
 Check out our ArtStation (link in bio) for a closer look at Perchta Dawn!
 #crytek #huntshowdown #cryengine #perchtadawn #legendaryhunter #lrz #littleredzombies</t>
  </si>
  <si>
    <t>crytek, huntshowdown, cryengine, perchtadawn, legendaryhunter, lrz, littleredzombies</t>
  </si>
  <si>
    <t>DHxroBHPFtE</t>
  </si>
  <si>
    <t>https://www.instagram.com/p/DHxroBHPFtE/</t>
  </si>
  <si>
    <t>2025-03-29T08:18:27.000Z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</si>
  <si>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Captain Boomerang!
 #suicidesquad #killthejusticeleague #justiceleague #dc #batman #superman #wonderwoman #characterart #characterdesign #arkham #rocksteady #lrz #littleredzombies</t>
  </si>
  <si>
    <t>DHV6SjcvwhO</t>
  </si>
  <si>
    <t>https://www.instagram.com/p/DHV6SjcvwhO/</t>
  </si>
  <si>
    <t>2025-03-18T13:27:51.000Z</t>
  </si>
  <si>
    <t>Wrapping up our Hunt: Showdown showcase today with a final batch of character reveals!
 A tactician and leader, The Statesman's calculated demeanor is mirrored in his attire. His design reflects a life of strategy and command, now directed towards the hunt.
 Check out our ArtStation (link in bio) for a closer look at The Statesman!
 #crytek #huntshowdown #cryengine #thestatesman #legendaryhunter #lrz #littleredzombies</t>
  </si>
  <si>
    <t>crytek, huntshowdown, cryengine, thestatesman, legendaryhunter, lrz, littleredzombies</t>
  </si>
  <si>
    <t>DHa_xXKPual</t>
  </si>
  <si>
    <t>https://www.instagram.com/p/DHa_xXKPual/</t>
  </si>
  <si>
    <t>2025-03-20T12:51:57.000Z</t>
  </si>
  <si>
    <t>We had the privilege to be trusted with some of the story character hairstyles for Exoprimal.
 We're truly grateful for the chance to collaborate with Capcom, and it was an incredible experience!
 Check out our ArtStation (link in bio) for a closer look at Magnum's hairstyle!
 #exoprimal #capcom #hair #characterart #littleredzombies #lrz</t>
  </si>
  <si>
    <t>exoprimal, capcom, hair, characterart, littleredzombies, lrz</t>
  </si>
  <si>
    <t>DHVRLcOv8_G</t>
  </si>
  <si>
    <t>https://www.instagram.com/p/DHVRLcOv8_G/</t>
  </si>
  <si>
    <t>2025-03-18T07:28:37.000Z</t>
  </si>
  <si>
    <t>Wrapping up our Hunt: Showdown showcase today with a final batch of character reveals!
 A shrine maiden turned hunter, The Miko walks the line between ritual and battle. Her design reflects a life steeped in spiritual tradition, now wielded against the darkness.
 Check out our ArtStation (link in bio) for a closer look at The Miko!
 #crytek #huntshowdown #cryengine #themiko #legendaryhunter #lrz #littleredzombies</t>
  </si>
  <si>
    <t>crytek, huntshowdown, cryengine, themiko, legendaryhunter, lrz, littleredzombies</t>
  </si>
  <si>
    <t>DH_ACVNvouK</t>
  </si>
  <si>
    <t>https://www.instagram.com/p/DH_ACVNvouK/</t>
  </si>
  <si>
    <t>2025-04-03T12:26:56.000Z</t>
  </si>
  <si>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Echelon faction!
 #ubisoft #ubisoftSFO #xdefiant #characterart #characterdesign #charactermodelling #lrz #littleredzombies</t>
  </si>
  <si>
    <t>DHbHlkfv3hf</t>
  </si>
  <si>
    <t>https://www.instagram.com/p/DHbHlkfv3hf/</t>
  </si>
  <si>
    <t>2025-03-20T14:00:15.000Z</t>
  </si>
  <si>
    <t>We had the privilege to be trusted with some of the story character hairstyles for Exoprimal.
 We're truly grateful for the chance to collaborate with Capcom, and it was an incredible experience!
 Check out our ArtStation (link in bio) for a closer look at Haruka Lorenzo's hairstyle!
 #exoprimal #capcom #hair #characterart #littleredzombies #lrz</t>
  </si>
  <si>
    <t>DHxYzjTP31g</t>
  </si>
  <si>
    <t>https://www.instagram.com/p/DHxYzjTP31g/</t>
  </si>
  <si>
    <t>2025-03-29T05:34:00.000Z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</si>
  <si>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King Shark!
 #suicidesquad #killthejusticeleague #justiceleague #dc #batman #superman #wonderwoman #characterart #characterdesign #arkham #rocksteady #lrz #littleredzombies</t>
  </si>
  <si>
    <t>DHDsUdbvsWm</t>
  </si>
  <si>
    <t>https://www.instagram.com/p/DHDsUdbvsWm/</t>
  </si>
  <si>
    <t>2025-03-11T11:39:27.000Z</t>
  </si>
  <si>
    <t>We're proud to showcase our contribution to Hunt: Showdown!
 We are grateful to Crytek for trusting us to craft an entire roster of legendary characters, working on all aspects including heads, outfits, and hair.
 For this, we crafted the entire character of the mysterious and deadly Concubine.
 Thanks to Crytek’s team for their feedback throughout—it helped us push our work further and made the whole experience even more rewarding!
 #crytek #huntshowdown #cryengine #concubine #lrz #littleredzombies</t>
  </si>
  <si>
    <t>crytek, huntshowdown, cryengine, concubine, lrz, littleredzombies</t>
  </si>
  <si>
    <t>DHDrnpQvtAl</t>
  </si>
  <si>
    <t>https://www.instagram.com/p/DHDrnpQvtAl/</t>
  </si>
  <si>
    <t>2025-03-11T11:33:20.000Z</t>
  </si>
  <si>
    <t>We're proud to showcase our contribution to Hunt: Showdown!
 We are grateful to Crytek for trusting with crafting an entire roster of legendary characters, working on all aspects including heads, outfits, and hair.
 For this, we had the opportunity to bring the ominous character of the Grim Reaper to life.
 Thanks to Crytek’s team for their feedback throughout—it helped us push our work further and made the whole experience even more rewarding!
 #crytek #huntshowdown #cryengine #grimreaper #lrz #littleredzombies</t>
  </si>
  <si>
    <t>crytek, huntshowdown, cryengine, grimreaper, lrz, littleredzombies</t>
  </si>
  <si>
    <t>DHGdLIJK25r</t>
  </si>
  <si>
    <t>https://www.instagram.com/p/DHGdLIJK25r/</t>
  </si>
  <si>
    <t>2025-03-12T13:24:49.000Z</t>
  </si>
  <si>
    <t>Following up on our Hunt: Showdown showcase, today we’re highlighting more of our work on the legendary characters we crafted.
 Presenting The Prescient – She sees what others miss. We worked on her to capture that quiet confidence—whether it’s instinct or something
 more.
 Thanks to Crytek’s team for their feedback throughout—it helped us push our work further and made the whole experience even more rewarding!
 Check out our ArtStation (link in bio) for hi-res shots of The Prescient! 
 #crytek #huntshowdown #cryengine #theprescient #lrz #littleredzombies</t>
  </si>
  <si>
    <t>crytek, huntshowdown, cryengine, theprescient, lrz, littleredzombies</t>
  </si>
  <si>
    <t>DHSpY7mvwVh</t>
  </si>
  <si>
    <t>https://www.instagram.com/p/DHSpY7mvwVh/</t>
  </si>
  <si>
    <t>2025-03-17T07:02:27.000Z</t>
  </si>
  <si>
    <t>Today, we’re turning the spotlight on another set of legendary hunters. 
 Iron Bark, a survivor shaped by the unforgiving wilds. His design reflects a life hardened by nature, where resilience is the only way forward.
 Check out our ArtStation (link in bio) for a closer look at the Iron Bark!
 #crytek #huntshowdown #cryengine #ironbark #legendaryhunter #lrz #littleredzombies</t>
  </si>
  <si>
    <t>crytek, huntshowdown, cryengine, ironbark, legendaryhunter, lrz, littleredzombies</t>
  </si>
  <si>
    <t>DHJBHG6qCHU</t>
  </si>
  <si>
    <t>https://www.instagram.com/p/DHJBHG6qCHU/</t>
  </si>
  <si>
    <t>2025-03-13T13:17:20.000Z</t>
  </si>
  <si>
    <t>Following up on our Hunt: Showdown showcase, today we’re bringing another set of legendary hunters to the spotlight. 
 Kurtis E. Falk's journey to Louisiana left his attire stained with the trials of the bayou. We wanted to stay true to the journey &amp; ensured the Union Suit's design reflects the grit and endurance required to survive such an ordeal.
 Check out our ArtStation (link in bio) for a closer look at the Union Suit!
 #characterart #characterdesign #crytek
 #huntshowdown #cryengine #unionsuit #lrz
 #littleredzombies</t>
  </si>
  <si>
    <t>characterart, characterdesign, crytek, huntshowdown, cryengine, unionsuit, lrz, littleredzombies</t>
  </si>
  <si>
    <t>DHF_ixmPo0N</t>
  </si>
  <si>
    <t>https://www.instagram.com/p/DHF_ixmPo0N/</t>
  </si>
  <si>
    <t>2025-03-12T09:05:54.000Z</t>
  </si>
  <si>
    <t>Following up on our Hunt: Showdown showcase, today we’re highlighting more of our work on the legendary characters we crafted. 
 Presenting the Scarecrow – A husk of burlap and bone, we crafted this eerie figure to stand motionless in the fields—until it doesn't.
 Thanks to Crytek’s team for their feedback throughout—it helped us push our work further and made the whole experience even more rewarding!
 #crytek #huntshowdown #cryengine #scarecrow #lrz #littleredzombies</t>
  </si>
  <si>
    <t>crytek, huntshowdown, cryengine, scarecrow, lrz, littleredzombies</t>
  </si>
  <si>
    <t>DG5i6LNPM0s</t>
  </si>
  <si>
    <t>https://www.instagram.com/p/DG5i6LNPM0s/</t>
  </si>
  <si>
    <t>2025-03-07T13:04:49.000Z</t>
  </si>
  <si>
    <t>The release of Split Fiction by Hazelight Studios is a big moment for us at Little Red Zombies! We’re beyond proud to share that our best hair &amp; fur work to date has been featured in the game.
 It was an honor to be trusted by Hazelight Studios and an exciting challenge to push the bar in creating hairstyles and fur for main story characters, as well as key NPCs and animals.
 Huge congratulations to everyone who brought Mio &amp; Zoe’s stories to life! 
 #splitfiction #splitfictiongame #hazelightstudios #ittakestwo #lrz #littleredzombies</t>
  </si>
  <si>
    <t>splitfiction, splitfictiongame, hazelightstudios, ittakestwo, lrz, littleredzombies</t>
  </si>
  <si>
    <t>DHGPG71vCAy</t>
  </si>
  <si>
    <t>https://www.instagram.com/p/DHGPG71vCAy/</t>
  </si>
  <si>
    <t>2025-03-12T11:21:55.000Z</t>
  </si>
  <si>
    <t>Following up on our Hunt: Showdown showcase, today we’re highlighting more of our work on the legendary characters we crafted.
 Presenting The Penitent – Shackled by his past, he hunts for redemption. We aimed to ensure every detail in his character reflects the weight he carries.
 Thanks to Crytek’s team for their feedback throughout—it helped us push our work further and made the whole experience even more rewarding!
 Check out our ArtStation (link in bio) for hi-res shots of The Penitent! 
 #crytek #huntshowdown #cryengine #penitent #lrz #littleredzombies</t>
  </si>
  <si>
    <t>crytek, huntshowdown, cryengine, penitent, lrz, littleredzombies</t>
  </si>
  <si>
    <t>DHTTRJfvY_Q</t>
  </si>
  <si>
    <t>https://www.instagram.com/p/DHTTRJfvY_Q/</t>
  </si>
  <si>
    <t>2025-03-17T13:08:23.000Z</t>
  </si>
  <si>
    <t>Inspired by the chilling tales of Frau Perchta, who descended from the mountains during winter to enact retribution, Perchta Dusk's design embodies the haunting presence that left garlands of entrails strung on trees at dusk.
 Check out our ArtStation (link in bio) for a closer look at Perchta Dusk!
 #crytek #huntshowdown #cryengine #perchtadusk #frauperchta #legendaryhunter #lrz #littleredzombies</t>
  </si>
  <si>
    <t>crytek, huntshowdown, cryengine, perchtadusk, frauperchta, legendaryhunter, lrz, littleredzombies</t>
  </si>
  <si>
    <t>DHv5S_9PbEC</t>
  </si>
  <si>
    <t>https://www.instagram.com/p/DHv5S_9PbEC/</t>
  </si>
  <si>
    <t>2025-03-28T15:39:26.000Z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</si>
  <si>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Harley Quinn! 
 #suicidesquad #killthejusticeleague #justiceleague #dc #batman #superman #wonderwoman #characterart #characterdesign #arkham #rocksteady #lrz #littleredzombies</t>
  </si>
  <si>
    <t>DG3DS0zPLbB</t>
  </si>
  <si>
    <t>https://www.instagram.com/p/DG3DS0zPLbB/</t>
  </si>
  <si>
    <t>2025-03-06T13:50:04.000Z</t>
  </si>
  <si>
    <t>We are thrilled to share our work on Mortal Kombat 1!
 Collaborating with NetherRealm Studios on this iconic franchise has been an honor. We were responsible for creating Shao Kahn’s Union of Light
 skin &amp; gear. As lifelong fans, contributing to a game that holds deep nostalgic value for our team has been especially rewarding
 Thanks to NetherRealm Studios for entrusting us with a diverse set of character outfit elements and gear!
 #mk1 #mortalkombat #mortalkombat1 #littleredzombies #lrz #shaokahn</t>
  </si>
  <si>
    <t>mk1, mortalkombat, mortalkombat1, littleredzombies, lrz, shaokahn</t>
  </si>
  <si>
    <t>DFuuI2TvUOa</t>
  </si>
  <si>
    <t>https://www.instagram.com/p/DFuuI2TvUOa/</t>
  </si>
  <si>
    <t>2025-02-06T11:39:53.000Z</t>
  </si>
  <si>
    <t>We are thrilled to share our contribution to Senua's Saga: Hellblade II!
 It was an incredible honor to be approached and trusted by Ninja Theory to create hairstyles. Working with them was an exceptional experience, as we collaborated closely with Dan Crossland, Art Director at Ninja Theory, on some of the key story characters.
 The extra effort from our team, combined with Dan's guidance, truly helped us raise the bar on this epic journey from Ninja Theory!
 #ninjatheory #hellblade2 #littleredzombies #lrz #senuassaga</t>
  </si>
  <si>
    <t>ninjatheory, hellblade2, littleredzombies, lrz, senuassaga</t>
  </si>
  <si>
    <t>DCi8Cn_Pi04</t>
  </si>
  <si>
    <t>https://www.instagram.com/p/DCi8Cn_Pi04/</t>
  </si>
  <si>
    <t>2024-11-19T08:16:18.000Z</t>
  </si>
  <si>
    <t>✨ The last week has been truly fulfilling for Little Red Zombies at @theindiagdc 2024!
 Our booth buzzed with energy as groups of students stopped by to seek advice and inspiration. LRZ’s talented Art Leads provided in-depth portfolio reviews, shared career guidance, and offered motivational insights. These interactions not only gave students actionable steps for their creative journeys but also helped us better understand the current state of budding artists in India—and how LRZ can support their growth.
 The week became even more special as our Co-Founder, CEO, and Art Director, Sri Ram Chandra, was honored with the prestigious AVGC ‘Top 40 Under 40’ Award by @animationxpress ! With nearly two decades of experience in the industry, he continues to lead LRZ’s mission: "to be a place where passionate artists can learn and grow together.". Sri Ram had the honor to dedicate the award to his family, friends and Team at LRZ!
 We’re excited about more opportunities to inspire and mentor the next generation of artists, helping them achieve AAA character art standards. Here’s to empowering creativity in India’s gaming and animation industry!
 #IGDC2024 #LittleRedZombies #LRZ #AVGC #IndiaJoy #40Under40</t>
  </si>
  <si>
    <t>IGDC2024, LittleRedZombies, LRZ, AVGC, IndiaJoy, 40Under40</t>
  </si>
  <si>
    <t>DD97JDPPQ-k</t>
  </si>
  <si>
    <t>https://www.instagram.com/p/DD97JDPPQ-k/</t>
  </si>
  <si>
    <t>2024-12-24T16:19:20.000Z</t>
  </si>
  <si>
    <t>Another year has flown by, and we’re reminded of all we have to be grateful for. To the incredible developers and our dedicated team—thank you for your hard work, creativity, and passion that continue to drive us forward.
 Wishing everyone a Merry Christmas and Happy Holidays from all of us at Little Red Zombies! ☃️❄️</t>
  </si>
  <si>
    <t>DG3C1qtPD6z</t>
  </si>
  <si>
    <t>https://www.instagram.com/p/DG3C1qtPD6z/</t>
  </si>
  <si>
    <t>2025-03-06T13:46:06.000Z</t>
  </si>
  <si>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creating the iconic hairstyle for Johnny Cage!
 #mk1 #mortalkombat #mortalkombat1 #littleredzombies #lrz #johnnycage</t>
  </si>
  <si>
    <t>mk1, mortalkombat, mortalkombat1, littleredzombies, lrz, johnnycage</t>
  </si>
  <si>
    <t>DG3Ck-dvVIv</t>
  </si>
  <si>
    <t>https://www.instagram.com/p/DG3Ck-dvVIv/</t>
  </si>
  <si>
    <t>2025-03-06T13:43:49.000Z</t>
  </si>
  <si>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over a 100 diverse sets of character outfit elements and gear!
 #mk1 #mortalkombat #mortalkombat1 #littleredzombies #lrz</t>
  </si>
  <si>
    <t>mk1, mortalkombat, mortalkombat1, littleredzombies, lrz</t>
  </si>
  <si>
    <t>DG3ET5eKtea</t>
  </si>
  <si>
    <t>https://www.instagram.com/p/DG3ET5eKtea/</t>
  </si>
  <si>
    <t>2025-03-06T13:58:57.000Z</t>
  </si>
  <si>
    <t>We are thrilled to share our work on Mortal Kombat 1!
 Collaborating with NetherRealm Studios on this iconic franchise has been an honor. We were responsible for creating Sub-Zero's full character. As
 lifelong fans, contributing to a game that holds deep nostalgic value for our team has been especially rewarding
 Thanks to NetherRealm Studios for entrusting us with a diverse set of character outfit elements and gear!
 #mk1 #mortalkombat #mortalkombat1 #littleredzombies #lrz#subzero</t>
  </si>
  <si>
    <t>mk1, mortalkombat, mortalkombat1, littleredzombies, lrz, subzero</t>
  </si>
  <si>
    <t>DG3CGR8PI8N</t>
  </si>
  <si>
    <t>https://www.instagram.com/p/DG3CGR8PI8N/</t>
  </si>
  <si>
    <t>2025-03-06T13:39:37.000Z</t>
  </si>
  <si>
    <t>We are thrilled to share our work on Mortal Kombat 1!
 Collaborating with NetherRealm Studios on this iconic franchise has been an honor. We were responsible for crafting Janet Cage's outfit and body,
 while the head and hair were created internally by NetherRealm Studios.
 As lifelong fans, contributing to a game that holds deep nostalgic value for our team has been especially rewarding
 Thanks to NetherRealm Studios for entrusting us with a diverse set of character outfit elements and gear!
 #mk1 #mortalkombat #mortalkombat1 #littleredzombies #lrz #janetcage</t>
  </si>
  <si>
    <t>mk1, mortalkombat, mortalkombat1, littleredzombies, lrz, janetcage</t>
  </si>
  <si>
    <t>DB80hwrvSgX</t>
  </si>
  <si>
    <t>https://www.instagram.com/p/DB80hwrvSgX/</t>
  </si>
  <si>
    <t>2024-11-04T12:59:31.000Z</t>
  </si>
  <si>
    <t>We recently had the pleasure of hosting the @marvelousdesigner team at our studio for an in-depth workshop on their latest features and
 workflow enhancements. It was a productive session where we explored new ways to refine our clothing pipeline and shared feedback and feature requests to help shape future updates.
 At Little Red Zombies, we're always striving to push the quality bar in AAA character art, and a deep understanding of our tools plays a big role in executing our vision. Looking forward to a continued partnership with the Marvelous team!
 #marvelousdesigner #clothing #characterart #littleredzombies #LRZ</t>
  </si>
  <si>
    <t>marvelousdesigner, clothing, characterart, littleredzombies, LRZ</t>
  </si>
  <si>
    <t>DHIWDWrvLmX</t>
  </si>
  <si>
    <t>https://www.instagram.com/p/DHIWDWrvLmX/</t>
  </si>
  <si>
    <t>2025-03-13T07:01:04.000Z</t>
  </si>
  <si>
    <t>Continuing on our Hunt: Showdown showcase, today we’re bringing another set of legendary hunters to the spotlight.
 As ash fell like snow, the Coal Bearer journeyed south, burdened by the weight of judgment. We ensured his design reflects this somber tale, capturing the essence of his heavy-hearted mission.
 Check out our ArtStation (link in bio) for a closer look at the Coal Bearer!
 #crytek #huntshowdown #cryengine #coalbearer #lrz #littleredzombies #characterart #characterdesign</t>
  </si>
  <si>
    <t>crytek, huntshowdown, cryengine, coalbearer, lrz, littleredzombies, characterart, characterdesign</t>
  </si>
  <si>
    <t>C3iLcxsvg16</t>
  </si>
  <si>
    <t>https://www.instagram.com/p/C3iLcxsvg16/</t>
  </si>
  <si>
    <t>2024-02-19T15:26:22.000Z</t>
  </si>
  <si>
    <t>It was a great moment for LRZ last week when our co-founder Sri Ram Chandra joined the main-stage panel on External Game Development in Asia at @gdsummitasia 2024.
 The panel shared their diverse insights on external development in Asia along with valuable advice for the attendees comprised of service providers and developers.
 We also caught up with our close relations, made some new friends and the beautiful Boracay effortlessly made everything more memorable!
 Cheers to our esteemed host Ashley Liu and amazing fellow panelists Walter de Torres, Mufizal Mokhtar and Ken Lai
 Chris Wren again for inviting us and the @gdsummitasia ,@xdsummit Teams for organizing and supporting us all the way.
 We'll surely be back for GDS 2025!</t>
  </si>
  <si>
    <t>C8HtiDrvCMR</t>
  </si>
  <si>
    <t>https://www.instagram.com/p/C8HtiDrvCMR/</t>
  </si>
  <si>
    <t>2024-06-12T15:21:40.000Z</t>
  </si>
  <si>
    <t>We extremely proud to finally share that we have worked together with Remedy Entertainment on Alan Wake II 
 We were responsible for creating several creatures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</si>
  <si>
    <t>alanwake2, remedyentertainment, alanwake, littleredzombies, lrz</t>
  </si>
  <si>
    <t>DHDr8FMvhuG</t>
  </si>
  <si>
    <t>https://www.instagram.com/p/DHDr8FMvhuG/</t>
  </si>
  <si>
    <t>2025-03-11T11:36:07.000Z</t>
  </si>
  <si>
    <t>We're proud to showcase our contribution to Hunt: Showdown!
 We are grateful to Crytek for trusting with crafting an entire roster of legendary characters, working on all aspects including heads, outfits, and hair.
 For this, we crafted the entire character of the battle worn pirate, Captain Lafitte.
 Thanks to Crytek’s team for their feedback throughout—it helped us push our work further and made the whole experience even more rewarding!
 #crytek #huntshowdown #cryengine #captainlafitte #lrz #littleredzombies</t>
  </si>
  <si>
    <t>crytek, huntshowdown, cryengine, captainlafitte, lrz, littleredzombies</t>
  </si>
  <si>
    <t>DHvwBMRv-r6</t>
  </si>
  <si>
    <t>https://www.instagram.com/p/DHvwBMRv-r6/</t>
  </si>
  <si>
    <t>2025-03-28T14:18:21.000Z</t>
  </si>
  <si>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Deadshot!
 #suicidesquad #killthejusticeleague #justiceleague #dc #batman #superman #wonderwoman #characterart #characterdesign #arkham #rocksteady #lrz #littleredzombies</t>
  </si>
  <si>
    <t>DGNX7R7qtW3</t>
  </si>
  <si>
    <t>https://www.instagram.com/p/DGNX7R7qtW3/</t>
  </si>
  <si>
    <t>2025-02-18T09:22:15.000Z</t>
  </si>
  <si>
    <t>Exciting news to kick off LRZ’s 2025!
 We had the incredible opportunity to collaborate closely with Obsidian Entertainment on Avowed — crafting key characters, NPCs, and creatures.
 It's been an honor to work alongside the talented team at Obsidian and help bring their vision for the world of Eora to life.
 Congratulations to everyone involved in the release of this project! 
 #avowed #obsidianentertainment #xbox #littleredzombies #lrz</t>
  </si>
  <si>
    <t>avowed, obsidianentertainment, xbox, littleredzombies, lrz</t>
  </si>
  <si>
    <t>C-8NVItSB6V</t>
  </si>
  <si>
    <t>https://www.instagram.com/p/C-8NVItSB6V/</t>
  </si>
  <si>
    <t>2024-08-21T17:42:49.000Z</t>
  </si>
  <si>
    <t>We're proud to announce that LRZ is one of the Gold sponsors for @xdsummit 2024! 
 Our team will be catching up with all of our existing clients, meet some exciting new studios and share the latest from LRZ!
 Watch this space for more updates as we look forward to sharing more with you!
 #XDS2024 #ExternalDevelopmentSummit #XDS #ExternalDevelopment #LittleRedZombies</t>
  </si>
  <si>
    <t>XDS2024, ExternalDevelopmentSummit, XDS, ExternalDevelopment, LittleRedZombies</t>
  </si>
  <si>
    <t>C3IIrCsv9yr</t>
  </si>
  <si>
    <t>https://www.instagram.com/p/C3IIrCsv9yr/</t>
  </si>
  <si>
    <t>2024-02-09T12:41:51.000Z</t>
  </si>
  <si>
    <t>We are proud to finally share that we have worked with Rocksteady Studios on Suicide Squad: Kill the Justice League! 
 Little Red Zombies supported extensively on several aspects of Character Art and are looking forward to seeing more players experience the game! 
 #suicidesquad #justiceleague #rocksteady #suicidesquadkillthejusticeleague #lrz #littleredzombies</t>
  </si>
  <si>
    <t>suicidesquad, justiceleague, rocksteady, suicidesquadkillthejusticeleague, lrz, littleredzombies</t>
  </si>
  <si>
    <t>C7O_i2bPP-K</t>
  </si>
  <si>
    <t>https://www.instagram.com/p/C7O_i2bPP-K/</t>
  </si>
  <si>
    <t>2024-05-21T14:42:21.000Z</t>
  </si>
  <si>
    <t>We are thrilled to share that we had the opportunity to work with Ubisoft SFO on XDefiant.
 It has been a great journey with Ubisoft SFO &amp; we feel incredibly proud to be a part of it!
 Congratulations to everyone on the devteam! 
 #XDefiantIsHere #GoXDefiantTeam #Ubisoft #LittleRedZombies #LRZ</t>
  </si>
  <si>
    <t>XDefiantIsHere, GoXDefiantTeam, Ubisoft, LittleRedZombies, LRZ</t>
  </si>
  <si>
    <t>DBjc0pEPmCU</t>
  </si>
  <si>
    <t>https://www.instagram.com/p/DBjc0pEPmCU/</t>
  </si>
  <si>
    <t>2024-10-25T16:31:22.000Z</t>
  </si>
  <si>
    <t>Call of Duty: Black Ops 6 is out, and it's another proud moment for Little Red Zombies. 
 It's been a privilege to continue contributing to a franchise that means so much to us 
 Huge congratulations to everyone who contributed to this game!
 #callofduty #callofdutyblackops #blackops6 #littleredzombies #LRZ</t>
  </si>
  <si>
    <t>callofduty, callofdutyblackops, blackops6, littleredzombies, LRZ</t>
  </si>
  <si>
    <t>DBydd8SP-Xm</t>
  </si>
  <si>
    <t>https://www.instagram.com/p/DBydd8SP-Xm/</t>
  </si>
  <si>
    <t>2024-10-31T12:25:37.000Z</t>
  </si>
  <si>
    <t>Wishing everyone a Happy Diwali ✨
  - Little Red Zombies</t>
  </si>
  <si>
    <t>C8tWmLvvLJU</t>
  </si>
  <si>
    <t>https://www.instagram.com/p/C8tWmLvvLJU/</t>
  </si>
  <si>
    <t>2024-06-27T06:12:24.000Z</t>
  </si>
  <si>
    <t>We are thrilled to share that LRZ partnered with Mainframe Industries for their social sandbox MMO, Pax Dei.
 We are grateful to Mainframe Industries for giving us the opportunity to create several Outfits, Creatures &amp; Weapons from the medieval era.
 With the game entering Early Access, we'd like to congratulate &amp; extend our best wishes to everyone on the devteam! 
 #PaxDei #MMO #LittleRedZombies #LRZ</t>
  </si>
  <si>
    <t>PaxDei, MMO, LittleRedZombies, LRZ</t>
  </si>
  <si>
    <t>DHbQZH-vAkF</t>
  </si>
  <si>
    <t>https://www.instagram.com/p/DHbQZH-vAkF/</t>
  </si>
  <si>
    <t>2025-03-20T15:17:11.000Z</t>
  </si>
  <si>
    <t>We had the privilege to be trusted with some of the story character hairstyles for Exoprimal.
 We're truly grateful for the chance to collaborate with Capcom, and it was an incredible experience!
 Check out our ArtStation (link in bio) for a closer look at Dr. Garett Synes' hairstyle!
 #exoprimal #capcom #hair #characterart #littleredzombies #lrz</t>
  </si>
  <si>
    <t>CzoFYiuP2Sa</t>
  </si>
  <si>
    <t>https://www.instagram.com/p/CzoFYiuP2Sa/</t>
  </si>
  <si>
    <t>2023-11-14T12:23:14.000Z</t>
  </si>
  <si>
    <t>As part of measures towards safety for women at LRZ, we arranged a session today by members of the She Team, Hyderabad. 
 It was very informative and we are thankful for @telanganasheteams for taking out the time for our team!</t>
  </si>
  <si>
    <t>DCHM1CLv2Kr</t>
  </si>
  <si>
    <t>https://www.instagram.com/p/DCHM1CLv2Kr/</t>
  </si>
  <si>
    <t>2024-11-08T13:44:16.000Z</t>
  </si>
  <si>
    <t>We are excited to announce that LRZ will be heading to @theindiagdc 2024!
 Join us at booth E28 and connect with our Art Leads to have your portfolios reviewed and get valuable career guidance.
 Don't miss out! We look forward to meeting you and help you make your art stand out! 
 #IGDC2024 #Portfolio #PortfolioReview #CareerGuidance #LittleRedZombies
 #LRZ</t>
  </si>
  <si>
    <t>IGDC2024, Portfolio, PortfolioReview, CareerGuidance, LittleRedZombies, LRZ</t>
  </si>
  <si>
    <t>C2xFZnwPNb3</t>
  </si>
  <si>
    <t>https://www.instagram.com/p/C2xFZnwPNb3/</t>
  </si>
  <si>
    <t>2024-01-31T13:50:44.000Z</t>
  </si>
  <si>
    <t>Pretty excited to start 2024 with some big news!
 We had the privilege to work with Naughty Dog on The Last of Us Part II Remastered. It has been an honor to be trusted with creating hairstyles for the game and we look forward to sharing more soon!
 Congrats to everyone involved, this is a milestone that we've always dreamed of reaching and it was an amazing team effort!
 #thelastofus #thelastofuspart2 #lrz #littleredzombies</t>
  </si>
  <si>
    <t>thelastofus, thelastofuspart2, lrz, littleredzombies</t>
  </si>
  <si>
    <t>C1RNsV2SGWt</t>
  </si>
  <si>
    <t>https://www.instagram.com/p/C1RNsV2SGWt/</t>
  </si>
  <si>
    <t>2023-12-25T08:16:06.000Z</t>
  </si>
  <si>
    <t>As another incredible year comes to an end, we gathered to recount and celebrate the amazing moments and milestones we've had together.
 Our gratitude to all of the amazing developers and fellow team members who've brought joy on our journey. 
 On to an exciting new chapter of LRZ ahead in 2024!
 A very Merry Christmas and a Happy New Year from LRZ! ❤️</t>
  </si>
  <si>
    <t>C0T9we0vKxp</t>
  </si>
  <si>
    <t>https://www.instagram.com/p/C0T9we0vKxp/</t>
  </si>
  <si>
    <t>2023-12-01T13:23:11.000Z</t>
  </si>
  <si>
    <t>We've had the great opportunity to work together with Respawn Entertainment on Star Wars Jedi: Survivor! Here are the Outfits of NPCs and other characters from the main story that we worked on.
 As artists who grew up watching Star Wars and being huge fans of Respawn Entertainment, it's a privilege to be able to contribute to this game!
 #littleredzombies #lrz#starwars #starwarsjedisurvivor</t>
  </si>
  <si>
    <t>littleredzombies, lrz, starwars, starwarsjedisurvivor</t>
  </si>
  <si>
    <t>C0T-EX4vrg1</t>
  </si>
  <si>
    <t>https://www.instagram.com/p/C0T-EX4vrg1/</t>
  </si>
  <si>
    <t>Video</t>
  </si>
  <si>
    <t>2023-12-01T13:36:03.000Z</t>
  </si>
  <si>
    <t>We've had the great opportunity to work together with Respawn Entertainment on Star Wars Jedi: Survivor! Here is our first Rigging Reel which shows the different aspects of Cal Kestis &amp; other NPCs that we worked on. 
 As artists who grew up watching Star Wars and being huge fans of Respawn Entertainment, it's a privilege to be able to contribute to this game!
 #littleredzombies #lrz #starwars #starwarsjedisurvivor</t>
  </si>
  <si>
    <t>C2ALFIpvKUe</t>
  </si>
  <si>
    <t>https://www.instagram.com/p/C2ALFIpvKUe/</t>
  </si>
  <si>
    <t>2024-01-12T13:57:34.000Z</t>
  </si>
  <si>
    <t>WE ARE HIRING!
 We are proud to be collaborating with the best developers in the industry and as we continue to scale up our AAA character team, we have openings for the following full-time, on-site only positions - 
 SENIOR 3D CHARACTER ARTIST (CLOTHING SPECIALIST)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SENIOR 3D TEXTURE ARTIST (CLOTHING/CREATURES)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Apply at jobs@littleredzombies.com with your resume and portfolio!</t>
  </si>
  <si>
    <t>C1NaStvSbXq</t>
  </si>
  <si>
    <t>https://www.instagram.com/p/C1NaStvSbXq/</t>
  </si>
  <si>
    <t>2023-12-23T20:49:14.000Z</t>
  </si>
  <si>
    <t>Finally,
 Remedy Entertainment
 Our contribution to Alan Wake II remains our proudest and best work yet across every aspect of what we enjoy. And we remain grateful for the support during it's production especially from key team members John Crossland, James Cannon and Janice Ng.
 There couldn't have been a better time for us to visit than right after Remedy's well deserved recognition at The Game Awards. We had the opportunity to meet Lead Character Artists Antti and John who have both played pivotal roles over the years in guiding us towards Remedy's standards.
 Special thanks to Assistant Producer Jarkko for hosting us. After some heavy Remedy nostalgia and witnessing Finland's impressive showcase of Natural History we head back home excited for what lies ahead in 2024</t>
  </si>
  <si>
    <t>C7O_Jo4PcIW</t>
  </si>
  <si>
    <t>https://www.instagram.com/p/C7O_Jo4PcIW/</t>
  </si>
  <si>
    <t>2024-05-21T14:38:55.000Z</t>
  </si>
  <si>
    <t>The release of Senua's Saga: Hellblade II marks an important milestone for Little Red Zombies.
 It was a great challenge &amp; privilege to create several hairstyles for prominent NPCs throughout the game. 
 Congratulations to everyone involved in crafting Senua's haunting journey into the Viking wasteland!
 #NinjaTheory #Hellblade2 #LittleRedZombies #LRZ</t>
  </si>
  <si>
    <t>NinjaTheory, Hellblade2, LittleRedZombies, LRZ</t>
  </si>
  <si>
    <t>DHJLx_GvFal</t>
  </si>
  <si>
    <t>https://www.instagram.com/p/DHJLx_GvFal/</t>
  </si>
  <si>
    <t>2025-03-13T14:50:34.000Z</t>
  </si>
  <si>
    <t>Following up on our Hunt: Showdown showcase, today we’re bringing another set of legendary hunters to the spotlight. 
 Haunted by the loss of her son in the Catacombs of Paris, Béatrice Maunet aka the Bone Mason hunts in the Bayou, seeking redemption. We worked to reflect the weight of her past, ensuring her presence feels as heavy as the story she carries.
 Check out our ArtStation (link in bio) for a closer look at the Bone Mason!
 #characterart #characterdesign #crytek
 #huntshowdown #cryengine #bonemason #lrz
 #littleredzombies</t>
  </si>
  <si>
    <t>characterart, characterdesign, crytek, huntshowdown, cryengine, bonemason, lrz, littleredzombies</t>
  </si>
  <si>
    <t>DB3hmsnvaFo</t>
  </si>
  <si>
    <t>https://www.instagram.com/p/DB3hmsnvaFo/</t>
  </si>
  <si>
    <t>2024-11-02T11:37:58.000Z</t>
  </si>
  <si>
    <t>It has been a wonderful kick off to the festive season at LRZ! 
 The Zombies looked their brightest on Diwali and at their spookiest on Halloween the very next day. ✨
 The two days were made extra special as the LRZ Halloween Tournament came to an end and the winners were given their due rights 
 #halloween2024 #littleredzombies #zombies #cosplay #LRZ</t>
  </si>
  <si>
    <t>halloween2024, littleredzombies, zombies, cosplay, LRZ</t>
  </si>
  <si>
    <t>C8HsVYwP1cJ</t>
  </si>
  <si>
    <t>https://www.instagram.com/p/C8HsVYwP1cJ/</t>
  </si>
  <si>
    <t>2024-06-12T15:11:12.000Z</t>
  </si>
  <si>
    <t>We extremely proud to finally share that we have worked together with Remedy Entertainment on Alan Wake II 
 We were responsible for creating several hairstyles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</si>
  <si>
    <t>C8HsE94vMgn</t>
  </si>
  <si>
    <t>https://www.instagram.com/p/C8HsE94vMgn/</t>
  </si>
  <si>
    <t>2024-06-12T15:08:57.000Z</t>
  </si>
  <si>
    <t>We extremely proud to finally share that we have worked together with Remedy Entertainment on Alan Wake II 
 We were responsible for creating several key character outfits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</si>
  <si>
    <t>C1KIw3MPhzs</t>
  </si>
  <si>
    <t>https://www.instagram.com/p/C1KIw3MPhzs/</t>
  </si>
  <si>
    <t>2023-12-22T14:18:20.000Z</t>
  </si>
  <si>
    <t>We are excited to share that we had the privilege to meet some of the teams we've been working together with! 
 First up, Sharkmob, Malmö!
 We were fortunate to be able witness first hand the love, passion and care that goes into every aspect of creating immersive video games. More importantly the culture and people behind such amazing experiences left us inspired and proud.
 We are thankful to Nils Wolf for hosting us and the entire Sharkmob team for taking the time. Everyone had a great time and left with strong takeaways to share with the team back home!</t>
  </si>
  <si>
    <t>C00ixZSvIFw</t>
  </si>
  <si>
    <t>https://www.instagram.com/p/C00ixZSvIFw/</t>
  </si>
  <si>
    <t>2023-12-14T05:02:19.000Z</t>
  </si>
  <si>
    <t>We are excited to share that we have been working together with Sharkmob on their recently revealed game Exoborne! 
 Congrats to everyone involved, we feel privileged and very proud to be a part of this! Stay tuned for more details on our involvement!</t>
  </si>
  <si>
    <t>C0MVK83PJ9Q</t>
  </si>
  <si>
    <t>https://www.instagram.com/p/C0MVK83PJ9Q/</t>
  </si>
  <si>
    <t>2023-11-28T14:13:51.000Z</t>
  </si>
  <si>
    <t>We've had the great opportunity to work together with Respawn Entertainment on Star Wars Jedi: Survivor! As a follow up to our earlier post, here are several more hairstyles of NPCs and other characters from the main story that we worked on.
 As artists who grew up watching Star Wars and being huge fans of Respawn Entertainment, it's a privilege to be able to contribute to this game!
 #starwarsjedisurvivor #starwars #lrz #littleredzombies</t>
  </si>
  <si>
    <t>starwarsjedisurvivor, starwars, lrz, littleredzombies</t>
  </si>
  <si>
    <t>Czd5CEWPxYu</t>
  </si>
  <si>
    <t>https://www.instagram.com/p/Czd5CEWPxYu/</t>
  </si>
  <si>
    <t>2023-11-10T13:22:54.000Z</t>
  </si>
  <si>
    <t>LRZ wishes everyone a Happy Diwali! 
 #LRZ #LittleRedZombies #happydiwali</t>
  </si>
  <si>
    <t>LRZ, LittleRedZombies, happydiwali</t>
  </si>
  <si>
    <t>C1L_atByi9W</t>
  </si>
  <si>
    <t>https://www.instagram.com/p/C1L_atByi9W/</t>
  </si>
  <si>
    <t>2023-12-23T07:35:09.000Z</t>
  </si>
  <si>
    <t>Europe studio visits contd...
 Next stop, another team based in Malmö, IO Interactive! 
 As fans who grew up playing Hitman, it's quite an honor to get to step into IOI.
 We had some quality time together with the character team over some coffee and snacks. Had great insights into IOI's inspiring culture of balancing work and fun activities, the Swedish education the team shared about was especially insightful. The visit to the home of Agent 47 was very brief but left us equally inspired and motivated to do better!
 Special thanks to IOI's Lead Character Artist Beatrice Harty who was kind enough to host us on a short notice!</t>
  </si>
  <si>
    <t>DFusWPIPGOy</t>
  </si>
  <si>
    <t>https://www.instagram.com/p/DFusWPIPGOy/</t>
  </si>
  <si>
    <t>2025-02-06T11:24:15.000Z</t>
  </si>
  <si>
    <t>Call of Duty has been an integral part of our culture since Day 1, with our lunch breaks often ending with intense final matches!
 So with great pride we announce our contribution to Call of Duty: Modern Warfare III, where we had the privilege of crafting unique hairstyles for the Multiplayer Operators.
 This collaboration with Call of Duty teams has been an honor, and we can't wait to share more exciting updates on this franchise soon!
 #callofduty #cod #callofdutymodernwarfare #modernwarfare3 #modernwarfare #lrz #littleredzombies</t>
  </si>
  <si>
    <t>callofduty, cod, callofdutymodernwarfare, modernwarfare3, modernwarfare, lrz, littleredzombies</t>
  </si>
  <si>
    <t>CzL8HUcPygA</t>
  </si>
  <si>
    <t>https://www.instagram.com/p/CzL8HUcPygA/</t>
  </si>
  <si>
    <t>2023-11-03T14:03:30.000Z</t>
  </si>
  <si>
    <t>Today marks a milestone where a game which was a part of LRZ's culture now has LRZ as a part of its team, Call of Duty: Modern Warfare III is out and it's an honour for LRZ to have worked on its characters! 
 Congratulations to everyone involved in the release of this project! 
 #cod #callofduty #modernwarfare #LRZ #littleredzombies #zombies #modernwarfare3</t>
  </si>
  <si>
    <t>cod, callofduty, modernwarfare, LRZ, littleredzombies, zombies, modernwarfare3</t>
  </si>
  <si>
    <t>CxPP8JfyB35</t>
  </si>
  <si>
    <t>https://www.instagram.com/p/CxPP8JfyB35/</t>
  </si>
  <si>
    <t>2023-09-16T03:51:40.000Z</t>
  </si>
  <si>
    <t>It's been a great week for LRZ at XDS! Always a great pleasure to be catching up with everyone in-person! 
 This year was a pretty exciting one considering the developments in the industry! We've had a fantastic reaction to our special AI presentation that we shared with those we are closely working with 
 We've also gained a lot of insights from the sessions and table-topics that we got to participate in this year!
 Very excited for the future and we have a lot to share here in the upcoming weeks! 
 Keep an eye out on our artstation for what we consider to be the best yet from team LRZ!</t>
  </si>
  <si>
    <t>Cqutga1pHyr</t>
  </si>
  <si>
    <t>https://www.instagram.com/p/Cqutga1pHyr/</t>
  </si>
  <si>
    <t>2023-04-07T09:26:44.000Z</t>
  </si>
  <si>
    <t>WE ARE HIRING!
 We are proud to be collaborating with the best developers in the industry and as we continue to scale up our AAA Character team, we have an opening for Quality Check Lead to help assist our technical quality control.
 Are you an experienced QC artist looking to expand your horizons?
 Apply at jobs@littleredzombies.com with your resume and portfolio.
 #hiring #openings #wearehiring #jobvacancy #jobopportunity #3dcharactermodeling #3dcharacterart #qualitycheck #qualitycontrol #gamingindustry #littleredzombies</t>
  </si>
  <si>
    <t>hiring, openings, wearehiring, jobvacancy, jobopportunity, 3dcharactermodeling, 3dcharacterart, qualitycheck, qualitycontrol, gamingindustry, littleredzombies</t>
  </si>
  <si>
    <t>CzT9IACvpWg</t>
  </si>
  <si>
    <t>https://www.instagram.com/p/CzT9IACvpWg/</t>
  </si>
  <si>
    <t>2023-11-06T16:46:16.000Z</t>
  </si>
  <si>
    <t>We've had the great opportunity to work together with Respawn Entertainment on Star Wars Jedi: Survivor! We worked on several character hairstyles and outfits for various NPCs seen throughout the game. 
 As artists who grew up watching Star Wars and being huge fans of Respawn Entertainment, it's a privilege to be able to contribute to this game! 
 #starwars #starwarsjedisurvivor #lrz #littleredzombies</t>
  </si>
  <si>
    <t>starwars, starwarsjedisurvivor, lrz, littleredzombies</t>
  </si>
  <si>
    <t>Cmg7y5NhhaO</t>
  </si>
  <si>
    <t>https://www.instagram.com/p/Cmg7y5NhhaO/</t>
  </si>
  <si>
    <t>2022-12-23T14:56:39.000Z</t>
  </si>
  <si>
    <t>Celebrating the end of another great year!
 Wishing everyone Happy Holidays! 
 #merrychristmas #happynewyear #holidays #littleredzombies #secretsanta #gifts #artists #tournament</t>
  </si>
  <si>
    <t>merrychristmas, happynewyear, holidays, littleredzombies, secretsanta, gifts, artists, tournament</t>
  </si>
  <si>
    <t>CrlXVzKpVpX</t>
  </si>
  <si>
    <t>https://www.instagram.com/p/CrlXVzKpVpX/</t>
  </si>
  <si>
    <t>2023-04-28T14:51:16.000Z</t>
  </si>
  <si>
    <t>Our team celebrating the release of Star Wars Jedi: Survivor 
 We are very proud to have collaborated with EA Respawn on this, congratulations to everyone who were involved in success of this game from LRZ's end!
 Here is the complete list of those who contributed - 
 Art Directors: Sri Ram Chandra, Ankit Garg 
 Project Coordinators: Sanchit Garg, Manvith Kumar J M, Anisha Sharma 
 QC Artists: S Nitin, Murli Sharma, Vigneshwar Bandarapu, Avinash Goud, Tarun Varma 
 Art Leads: Sanjay Nandy, Nakshatra Bhaskar Solanki, Rajarshi Mukherjee, Daniel Driver, Akhil Chinnabathini 
 Artists: Anshu Priya, Anurag Bhatt, Avinash Vinayakrao Pandey, Jugal S Parikh, Kuntal Sarkar, Piyush Sikder, Sundar Pradeesh, Vaibhav Chauhan, Nikita Gupta 
 Hair Artists: Lokesh M, Vaibhav Gupta, Vinay Gupta, Sai Praneeth, Rishabh Shrimali, Sid Sinha, Subhash, Mekhla, Neha 
 Rigging Artists: Chetan Verma, Prateek Agrawal, Utsava, Ritik Meena.</t>
  </si>
  <si>
    <t>CxYPjptvAKo</t>
  </si>
  <si>
    <t>https://www.instagram.com/p/CxYPjptvAKo/</t>
  </si>
  <si>
    <t>2023-09-19T15:41:30.000Z</t>
  </si>
  <si>
    <t>We are super thrilled to celebrate the release of of Mortal Kombat 1! ⚔️
 It has been a long journey with NetherRealm Studios(from the time we played MK as kids) and we feel very proud &amp; fortunate to be a part of it!
 Congratulations to everyone on the devteam! 
 #LittleRedZombies #MK1 #MortalKombat #LRZ</t>
  </si>
  <si>
    <t>LittleRedZombies, MK1, MortalKombat, LRZ</t>
  </si>
  <si>
    <t>CstZx5yy1NU</t>
  </si>
  <si>
    <t>https://www.instagram.com/p/CstZx5yy1NU/</t>
  </si>
  <si>
    <t>2023-05-26T14:17:54.000Z</t>
  </si>
  <si>
    <t>As Potterheads and as artists, it was an honor to work together with WB Games and Avalanche Software on Hogwarts Legacy! 
 Straying from our regular realism approach, it was a great experience working on Hogwarts Legacy's unique artstyle. We were responsible for over 60 hairstyles ranging from Player hairstyles to NPCs.
 Congratulations to all the talented artists involved in bringing Hogwarts to life! 
 #hogwarts #hogwartslegacy #wbgames #harrypotter #littleredzombies #magic #wizardingworld #wizard #zbrush #artwork #videogame #artstation #potterhead</t>
  </si>
  <si>
    <t>hogwarts, hogwartslegacy, wbgames, harrypotter, littleredzombies, magic, wizardingworld, wizard, zbrush, artwork, videogame</t>
  </si>
  <si>
    <t>Cy50ADsvbJp</t>
  </si>
  <si>
    <t>https://www.instagram.com/p/Cy50ADsvbJp/</t>
  </si>
  <si>
    <t>2023-10-27T13:06:17.000Z</t>
  </si>
  <si>
    <t>The release of Alan Wake 2 marks a memorable milestone for our continued relationship with Remedy Entertainment. 
 We are highly grateful to be trusted by Remedy in creating several key characters, creatures and all of the hairstyles for the game. Congratulations to everyone who were a part of this atmospheric masterpiece! 
 Keep an eye out for our biggest portfolio update yet, we are really proud of the quality of character work we consistently delivered on for Alan Wake 2 and look forward to sharing it soon! 
 #LittleRedZombies #alanwake2 #remedyentertainment #alanwake</t>
  </si>
  <si>
    <t>LittleRedZombies, alanwake2, remedyentertainment, alanwake</t>
  </si>
  <si>
    <t>CzWegoHv2J1</t>
  </si>
  <si>
    <t>https://www.instagram.com/p/CzWegoHv2J1/</t>
  </si>
  <si>
    <t>2023-11-07T16:16:28.000Z</t>
  </si>
  <si>
    <t>Here are the posts for all the Aliens and Creatures we contributed to Star Wars Jedi: Survivor! 
 These involve the anatomy, texture, and hair teams. 
 #starwarsjedisurvivor #starwars #lrz #littleredzombies</t>
  </si>
  <si>
    <t>CzGpRWiP4nv</t>
  </si>
  <si>
    <t>https://www.instagram.com/p/CzGpRWiP4nv/</t>
  </si>
  <si>
    <t>2023-11-01T12:42:39.000Z</t>
  </si>
  <si>
    <t>The Zombies came alive to take part in the LRZ Halloween Tournament &amp; celebrate some spooktacular time together! 
 Happy Halloween everyone! ‍♂️ 
 #LRZ #LittleRedZombies #halloween #cosplay #squidgame #cobwebs #zombies</t>
  </si>
  <si>
    <t>LRZ, LittleRedZombies, halloween, cosplay, squidgame, cobwebs, zombies</t>
  </si>
  <si>
    <t>CxzJ11TPqdn</t>
  </si>
  <si>
    <t>https://www.instagram.com/p/CxzJ11TPqdn/</t>
  </si>
  <si>
    <t>2023-09-30T02:31:03.000Z</t>
  </si>
  <si>
    <t>Wrapping up the LRZ Call of Duty tournament and the #gameweek prize distribution to cap off an eventful week 
 #LittleRedZombies #LRZ #callofduty #tournament</t>
  </si>
  <si>
    <t>gameweek, LittleRedZombies, LRZ, callofduty, tournament</t>
  </si>
  <si>
    <t>CX6mZOKKpnG</t>
  </si>
  <si>
    <t>https://www.instagram.com/p/CX6mZOKKpnG/</t>
  </si>
  <si>
    <t>2021-12-25T18:18:59.000Z</t>
  </si>
  <si>
    <t>LRZ wishes everyone a Merry Christmas and a Happy New Year ahead! 
 The team had a great time celebrating the end of year with some fun and games and tasty food! Look forward to some exciting updates from us as we head into 2022! 
 #merrychristmas #littleredzombies #hyderabad</t>
  </si>
  <si>
    <t>merrychristmas, littleredzombies, hyderabad</t>
  </si>
  <si>
    <t>CUK42GqAnDU</t>
  </si>
  <si>
    <t>https://www.instagram.com/p/CUK42GqAnDU/</t>
  </si>
  <si>
    <t>2021-09-23T16:02:36.000Z</t>
  </si>
  <si>
    <t>We are extremely proud to finally share that we have worked together with Blizzard Entertainment on Diablo II: Resurrected! 
 We were involved in creating SEVERAL monsters, creatures, characters and countless hairstyles including that of all the playable characters. It has been a wonderful journey for us as it truly helped us understand and execute art to Blizzard's industry-best standards!
 Keep an eye out for our portfolio updates and follow us on artstation at www.artstation.com/littleredzombies
 #littleredzombies #lrz #gamestudio #characterdesign #zbrush #artstation #art #3d #3dart #digitalart #3dmodeling #digitalsculpting #3dsculpting #sculpting #instaart #cg #cgart #cgi #blizzardentertainment #diablo #diablo2 #creatures #monsters #hair</t>
  </si>
  <si>
    <t>littleredzombies, lrz, gamestudio, characterdesign, zbrush, artstation, art, 3d, 3dart, digitalart, 3dmodeling</t>
  </si>
  <si>
    <t>Cd8gVHdpug-</t>
  </si>
  <si>
    <t>https://www.instagram.com/p/Cd8gVHdpug-/</t>
  </si>
  <si>
    <t>2022-05-24T15:12:50.000Z</t>
  </si>
  <si>
    <t>Horizon Forbidden West - Aloy Harvester Outfit
 We've had the great opportunity to work together with Guerrilla Games on Horizon Forbidden West!
 It was a great challenge and a privilege to create the main character Aloy's 'Utaru Harvester' outfit!
 We were responsible for an initial pass on the textures and a final pass was done by Guerrilla Games internally.
 ©2022 Sony Interactive Entertainment Europe. Developed by Guerrilla. Horizon Forbidden West is a registered trademark or trademark of Sony Interactive Entertainment LLC.
 #3d #guerillagames #aloy #zbrush #artwork #videogame #littleredzombies #artstation</t>
  </si>
  <si>
    <t>3d, guerillagames, aloy, zbrush, artwork, videogame, littleredzombies, artstation</t>
  </si>
  <si>
    <t>CUc5PxOpSMK</t>
  </si>
  <si>
    <t>https://www.instagram.com/p/CUc5PxOpSMK/</t>
  </si>
  <si>
    <t>2021-09-30T15:52:19.000Z</t>
  </si>
  <si>
    <t>Diablo II: Resurrected - VULTURE DEMON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</si>
  <si>
    <t>littleredzombies, lrz, hyderabad, hiteccity, gamestudio, zbrush, artstation, art, 3d, 3dart, digitalart</t>
  </si>
  <si>
    <t>CaHqQxHPt40</t>
  </si>
  <si>
    <t>https://www.instagram.com/p/CaHqQxHPt40/</t>
  </si>
  <si>
    <t>2022-02-18T13:05:41.000Z</t>
  </si>
  <si>
    <t>We have our first major update for 2022! :)
 We are excited to share that we have significantly contributed several outfits and hairstyles, including that of Aloy's in Horizon Forbidden West!
 It was a great journey working with Guerrilla Games, congratulations to everyone involved!
 Follow us on our artstation for updates! www.artstation.com/littleredzombies 
 #3d #littleredzombies #horizonforbiddenwest #lrz #artststion #art #digitalart #3dmodeling #digitalsculpting #instaart #cgi #guerillagames #guerillagames #zbrush #aloycosplay #horizonzerodawn #ps5 #sony #cake #celebration #release</t>
  </si>
  <si>
    <t>3d, littleredzombies, horizonforbiddenwest, lrz, artststion, art, digitalart, 3dmodeling, digitalsculpting, instaart, cgi</t>
  </si>
  <si>
    <t>CUXUdPyvrK7</t>
  </si>
  <si>
    <t>https://www.instagram.com/p/CUXUdPyvrK7/</t>
  </si>
  <si>
    <t>2021-09-28T11:54:38.000Z</t>
  </si>
  <si>
    <t>Diablo II: Resurrected - HELL BOVINE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</si>
  <si>
    <t>CXrOUwmPPru</t>
  </si>
  <si>
    <t>https://www.instagram.com/p/CXrOUwmPPru/</t>
  </si>
  <si>
    <t>2021-12-19T19:00:03.000Z</t>
  </si>
  <si>
    <t>Diablo 2: Resurrected - Druid's Animals
 We are extremely proud to finally share that we have worked together with Blizzard Entertainment on Diablo II: Resurrected! :)
 We were involved in creating SEVERAL monsters, creatures, characters and countless hairstyles including that of all the playable characters. 
 Special thanks to Art Direction from Chris Amaral and Crystal Land. It has been a wonderful journey for us as it truly helped us understand and execute art to Blizzard's industry-best standards!
 Keep an eye out for our portfolio updates and follow us on artstation at www.artstation.com/littleredzombies
 #littleredzombies #artstation
 #art #wolf #bear #animals #videogame #diabloressurected #fur</t>
  </si>
  <si>
    <t>littleredzombies, artstation, art, wolf, bear, animals, videogame, diabloressurected, fur</t>
  </si>
  <si>
    <t>Ci-aTpCPtkl</t>
  </si>
  <si>
    <t>https://www.instagram.com/p/Ci-aTpCPtkl/</t>
  </si>
  <si>
    <t>2022-09-26T15:35:39.000Z</t>
  </si>
  <si>
    <t>We've had a fantastic time at XDS 2022 catching up with our existing relations and meeting some amazing folks! Pretty humbled to hear about what LRZ is being perceived as within the industry and it was made even more special with an award!
 We have some exciting developments happening at the studio and we look forward to sharing more soon! 
 #littleredzombies #vancouver #xds #instagram</t>
  </si>
  <si>
    <t>littleredzombies, vancouver, xds, instagram</t>
  </si>
  <si>
    <t>B9-6gl9DtwF</t>
  </si>
  <si>
    <t>https://www.instagram.com/p/B9-6gl9DtwF/</t>
  </si>
  <si>
    <t>2020-03-21T04:55:28.000Z</t>
  </si>
  <si>
    <t>HλLF-LIFE: Gordon (UE4) "Rise and shine, Mr. Freeman. Rise and shine." - G-Man, Half-Life 2 
 Gordon Freeman is the protagonist of the Half-Life video game series by Valve. This fan art is created out of our love for Half-Life :) Fan Art Credits : 
 Artists : @naky_solanki &amp; @sriramchandravs
 Follow us on ArtStation at artstation.com/littleredzombies
 #gordonfreeman #halflife #alyx #valve #fanart #characterdesign #littleredzombies #zbrush #artstation #unrealengine #ue4 #realtime #art #halflife3 #3d #3dart #digitalart #3dmodeling #zbrushsculpt #digitalsculpting #3dsculpting #sculpting #instaart #cg #cgart #cgi #sculpture #render #firstpost</t>
  </si>
  <si>
    <t>gordonfreeman, halflife, alyx, valve, fanart, characterdesign, littleredzombies, zbrush, artstation, unrealengine, ue4</t>
  </si>
  <si>
    <t>CT7Xfy2PgU-</t>
  </si>
  <si>
    <t>https://www.instagram.com/p/CT7Xfy2PgU-/</t>
  </si>
  <si>
    <t>2021-09-17T15:22:28.000Z</t>
  </si>
  <si>
    <t>COVID has been a testing time for all of us. Now that we are back to our offices (with strict safety measures and everyone fully vaccinated), we took a much deserved break to (safely!) celebrate the 10th Anniversary of LRZ at our new studio! 
 The 2 day celebration involved a lot of competitions and some great food! 
 Stay tuned for some exciting updates later this month!
 #littleredzombies #lrz #newstudio #newoffice #hyderabad #hiteccity #durgamcheruvu #gamestudio #zbrush #artstation #art #3d #3dart #digitalart #3dmodeling #digitalsculpting #3dsculpting #sculpting #instaart #cg #cgart #cgi</t>
  </si>
  <si>
    <t>littleredzombies, lrz, newstudio, newoffice, hyderabad, hiteccity, durgamcheruvu, gamestudio, zbrush, artstation, art</t>
  </si>
  <si>
    <t>CTe_XYxpf_u</t>
  </si>
  <si>
    <t>https://www.instagram.com/p/CTe_XYxpf_u/</t>
  </si>
  <si>
    <t>2021-09-06T14:52:52.000Z</t>
  </si>
  <si>
    <t>This year marks the 10th Anniversary of our studio and we are excited to share that we have moved to a brand new office space :)
 Located at the tech industry hub Hitec City in Hyderabad, our 15,500 square foot studio has dedicated areas for production, meetings, lounge, pantry, dining, gym, meditation/sleep zone, 3D Printing and most importantly Gaming!
 Keep an eye out for more updates!
 #littleredzombies #lrz #newstudio #newoffice #hyderabad #hiteccity #durgamcheruvu #gamestudio #zbrush #artstation #art #3d #3dart #digitalart #3dmodeling #digitalsculpting #3dsculpting #sculpting #instaart #cg #cgart #cgi</t>
  </si>
  <si>
    <t>Cj--_cwPfsz</t>
  </si>
  <si>
    <t>https://www.instagram.com/p/Cj--_cwPfsz/</t>
  </si>
  <si>
    <t>2022-10-21T17:27:36.000Z</t>
  </si>
  <si>
    <t>Wishing everyone a very #happydiwali</t>
  </si>
  <si>
    <t>happydiwali</t>
  </si>
  <si>
    <t>Ca2Dj-7Pgxq</t>
  </si>
  <si>
    <t>https://www.instagram.com/p/Ca2Dj-7Pgxq/</t>
  </si>
  <si>
    <t>2022-03-08T13:31:50.000Z</t>
  </si>
  <si>
    <t>To all the incredible women at Little Red Zombies and across the world, Happy Women's Day! :) 
 #happywomensday #womensday #internationalwomensday #girlpower #celebration</t>
  </si>
  <si>
    <t>happywomensday, womensday, internationalwomensday, girlpower, celebration</t>
  </si>
  <si>
    <t>CVvvSpRKMrY</t>
  </si>
  <si>
    <t>https://www.instagram.com/p/CVvvSpRKMrY/</t>
  </si>
  <si>
    <t>2021-11-01T20:02:17.000Z</t>
  </si>
  <si>
    <t>Zombie mode ON! Aggressive and hungry, the zombies were instinctively drawn to celebrate some spooky time together, LRZ style! 
 Happy Halloween
  everyone! 
 #halloween #littleredzombies #zombies #trickortreat #craft #michaeljackson #apes #cosplay #vendetta #anonymous #heist #moneyheist #crowbar #spider #webbing</t>
  </si>
  <si>
    <t>halloween, littleredzombies, zombies, trickortreat, craft, michaeljackson, apes, cosplay, vendetta, anonymous, heist</t>
  </si>
  <si>
    <t>CUPl5xxP5_6</t>
  </si>
  <si>
    <t>https://www.instagram.com/p/CUPl5xxP5_6/</t>
  </si>
  <si>
    <t>2021-09-25T11:53:10.000Z</t>
  </si>
  <si>
    <t>Diablo II: Resurrected - BAT DEMON
 We are extremely proud to finally share that we have worked together with Blizzard Entertainment on Diablo II: Resurrected!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Checkout our artstation page for the complete post. Link in bio!
 #littleredzombies #lrz #hyderabad #hiteccity #durgamcheruvu #gamestudio #zbrush #artstation #art #3d #3dart #digitalart #3dmodeling #digitalsculpting #3dsculpting #sculpting #instaart #cg #cgart #cgi #blizzardentertainment #diablo #diablo2 #diabloressurected #</t>
  </si>
  <si>
    <t>littleredzombies, lrz, hyderabad, hiteccity, durgamcheruvu, gamestudio, zbrush, artstation, art, 3d, 3dart</t>
  </si>
  <si>
    <t>text</t>
  </si>
  <si>
    <t>postedAtISO</t>
  </si>
  <si>
    <t>numLikes</t>
  </si>
  <si>
    <t>numComments</t>
  </si>
  <si>
    <t>numShares</t>
  </si>
  <si>
    <t>document/title</t>
  </si>
  <si>
    <t>https://www.linkedin.com/posts/littleredzombies_alan-wake-ii-the-lake-house-fbc-scientist-activity-7354041867782533120-DnI5?utm_source=combined_share_message&amp;utm_medium=member_desktop&amp;rcm=ACoAACeKeD0BuF80SqXQzZ7zQPkO3myaeSLGXW4</t>
  </si>
  <si>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for a closer, high resolution look at the FBC Scientist's outfits.
 https://lnkd.in/gFjZsxu6
 #AlanWake2 #LakeHouse #RemedyEntertainment #LittleRedZombies #GameArt #CharacterArt #NPCDesign #OutsourcingStudio #GameDev #LRZ</t>
  </si>
  <si>
    <t>2025-07-24T06:56:52.770Z</t>
  </si>
  <si>
    <t>document</t>
  </si>
  <si>
    <t>Alan Wake II: The Lake House – FBC Scientist Outfits</t>
  </si>
  <si>
    <t>https://www.linkedin.com/posts/littleredzombies_littleredzombies-ghosttownvr-fireproofstudios-activity-7351609223690059779-mawJ?utm_source=combined_share_message&amp;utm_medium=member_desktop&amp;rcm=ACoAACeKeD0BuF80SqXQzZ7zQPkO3myaeSLGXW4</t>
  </si>
  <si>
    <t>Presenting Ghost Town - Little Red Zombies' first native VR title contribution!
 We’re incredibly proud to have collaborated with the amazing team at Fireproof Studios Ltd,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</si>
  <si>
    <t>2025-07-17T13:50:25.222Z</t>
  </si>
  <si>
    <t>image</t>
  </si>
  <si>
    <t>Image/Text Post</t>
  </si>
  <si>
    <t>https://www.linkedin.com/posts/littleredzombies_xds2025-xds-externaldevelopmentsummit-activity-7350848914595475456-tdWe?utm_source=combined_share_message&amp;utm_medium=member_desktop&amp;rcm=ACoAACeKeD0BuF80SqXQzZ7zQPkO3myaeSLGXW4</t>
  </si>
  <si>
    <t>We’ll be heading to Vancouver this September for External Development Summit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we’d love to connect!
 #xds2025 #xds #externaldevelopmentsummit #goldsponsor #littleredzombies #gameart #AAA #gamedevelopment #gamedev #outsourcing #lrz #littleredzombies</t>
  </si>
  <si>
    <t>2025-07-15T11:29:13.408Z</t>
  </si>
  <si>
    <t>https://www.linkedin.com/posts/littleredzombies_split-fiction-playable-story-characters-activity-7359205919697637376-Q91u?utm_source=combined_share_message&amp;utm_medium=member_desktop&amp;rcm=ACoAAGNYwmMBHH05CVFu0KpJR4gGCaJ72HAoAEU</t>
  </si>
  <si>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Studios for their continued support.
 It was a rewarding process shaping this group of characters for the story.
 Head to our ArtStation for a closer, hi-res look at all the characters' fur!
 https://lnkd.in/gVqrg4bA
 #SplitFiction #HazelightStudios #Hair #IceKing #CharacterArt #CharacterDesign #RealTime #LittleRedZombies #LRZ #GameArt #MonkeyKing #NPC</t>
  </si>
  <si>
    <t>2025-08-07T12:56:58.690Z</t>
  </si>
  <si>
    <t>Split Fiction - Playable &amp; Story Characters Fur</t>
  </si>
  <si>
    <t>https://www.linkedin.com/posts/littleredzombies_split-fiction-fauna-activity-7359204511673958400-k_Eb?utm_source=combined_share_message&amp;utm_medium=member_desktop&amp;rcm=ACoAAGNYwmMBHH05CVFu0KpJR4gGCaJ72HAoAEU</t>
  </si>
  <si>
    <t>The Baby Bird plays a key role in gameplay progression and required a strong sense of presence within the world. This post highlights our fur work on the character, designed to support its place in both story and mechanics.
 Thanks to Jacob Larsson and the Hazelight Studios team for their continued collaboration.
 Proud to share this part of the work and grateful for the trust placed in the team.
 Head to our ArtStation for a closer, hi-res look at Baby Bird's feathers!
 https://lnkd.in/gRx96Y7z
 #SplitFiction #HazelightStudios #Hair #CharacterArt #CharacterDesign #RealTime #LittleRedZombies #LRZ #GameArt #NPC #Fauna</t>
  </si>
  <si>
    <t>2025-08-07T12:51:22.991Z</t>
  </si>
  <si>
    <t>Split Fiction - Fauna</t>
  </si>
  <si>
    <t>https://www.linkedin.com/posts/littleredzombies_split-fiction-fauna-activity-7359204048111067136-2zV9?utm_source=combined_share_message&amp;utm_medium=member_desktop&amp;rcm=ACoAAGNYwmMBHH05CVFu0KpJR4gGCaJ72HAoAEU</t>
  </si>
  <si>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for a closer, hi-res look at the Swamp Bird's feathers!
 https://lnkd.in/gr6ufhXc
 #SplitFiction #HazelightStudios #Hair #CharacterArt #CharacterDesign #RealTime #LittleRedZombies #LRZ #GameArt #NPC #Fauna</t>
  </si>
  <si>
    <t>2025-08-07T12:49:32.469Z</t>
  </si>
  <si>
    <t>https://www.linkedin.com/posts/littleredzombies_split-fiction-story-characters-hair-activity-7356994100388093954-SsvH?utm_source=combined_share_message&amp;utm_medium=member_desktop&amp;rcm=ACoAAGNYwmMBHH05CVFu0KpJR4gGCaJ72HAoAEU</t>
  </si>
  <si>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for a closer, hi-res look at each of these NPC's hairstyles.
 https://lnkd.in/gMn-rTaf
 #SplitFiction #HazelightStudios #Hair #NPCs #CharacterArt #CharacterDesign #RealTime #LittleRedZombies #LRZ</t>
  </si>
  <si>
    <t>2025-08-01T10:27:59.873Z</t>
  </si>
  <si>
    <t>Split Fiction - Story Characters Hair</t>
  </si>
  <si>
    <t>https://www.linkedin.com/posts/littleredzombies_split-fiction-story-characters-hair-activity-7356993617762111488-Wiz8?utm_source=combined_share_message&amp;utm_medium=member_desktop&amp;rcm=ACoAAGNYwmMBHH05CVFu0KpJR4gGCaJ72HAoAEU</t>
  </si>
  <si>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for a closer, hi-res look at each NPC's hairstyles.
 https://lnkd.in/gqr9JCYR
 #SplitFiction #HazelightStudios #Hair #NPCs #CharacterArt #CharacterDesign #RealTime #LittleRedZombies #LRZ</t>
  </si>
  <si>
    <t>2025-08-01T10:26:04.806Z</t>
  </si>
  <si>
    <t>https://www.linkedin.com/posts/littleredzombies_split-fiction-rader-hair-activity-7356677461302005760-RwHQ?utm_source=combined_share_message&amp;utm_medium=member_desktop&amp;rcm=ACoAAGNYwmMBHH05CVFu0KpJR4gGCaJ72HAoAEU</t>
  </si>
  <si>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and the Hazelight Studios team for their collaboration and clear guidance through every review stage.
 Check out our ArtStation for a closer, high resolution look at Rader's hair.
 https://lnkd.in/gwDbFTdB
 #SplitFiction #HazelightStudios #Hair #Rader #CharacterArt #CharacterDesign #RealTime #LittleRedZombies #LRZ</t>
  </si>
  <si>
    <t>2025-07-31T13:29:47.232Z</t>
  </si>
  <si>
    <t>Split Fiction - Rader Hair</t>
  </si>
  <si>
    <t>https://www.linkedin.com/posts/littleredzombies_split-fiction-mio-hair-activity-7356673400955703296-eIMk?utm_source=combined_share_message&amp;utm_medium=member_desktop&amp;rcm=ACoAAGNYwmMBHH05CVFu0KpJR4gGCaJ72HAoAEU</t>
  </si>
  <si>
    <t>Here’s a look at our hair work for Mio, one of the main playable characters in Split Fiction.
 This was a key piece within our broader scope on the project, and part of what we’re proud to call LRZ’s best Hair work to date.
 Appreciation to Jacob Larsson and the Hazelight Studios team for their steady feedback and collaboration throughout.
 Check out our ArtStation for a closer, high resolution look at Mio's hair.
 https://lnkd.in/ghgft6s9
 #SplitFiction #HazelightStudios #Hair #Zoe #CharacterArt #CharacterDesign #RealTime #LittleRedZombies #LRZ</t>
  </si>
  <si>
    <t>2025-07-31T13:13:39.170Z</t>
  </si>
  <si>
    <t>Split Fiction - Mio Hair</t>
  </si>
  <si>
    <t>https://www.linkedin.com/posts/littleredzombies_split-fiction-zoe-the-fairy-hair-activity-7356671351224496130-cRrm?utm_source=combined_share_message&amp;utm_medium=member_desktop&amp;rcm=ACoAAGNYwmMBHH05CVFu0KpJR4gGCaJ72HAoAEU</t>
  </si>
  <si>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and the Hazelight Studios team for the detailed feedback and close collaboration throughout.
 Check out our ArtStation for a closer, high resolution look at Zoe &amp; the Fairy's hair.
 https://lnkd.in/gUtqAeqT
 #SplitFiction #HazelightStudios #Hair #Zoe #CharacterArt #CharacterDesign #RealTime #LittleRedZombies #LRZ</t>
  </si>
  <si>
    <t>2025-07-31T13:05:30.476Z</t>
  </si>
  <si>
    <t>Split Fiction - Zoe &amp; the Fairy Hair</t>
  </si>
  <si>
    <t>https://www.linkedin.com/posts/littleredzombies_alan-wake-ii-the-lake-house-dr-diana-activity-7354444215558311936-syWg?utm_source=combined_share_message&amp;utm_medium=member_desktop&amp;rcm=ACoAAGNYwmMBHH05CVFu0KpJR4gGCaJ72HAoAEU</t>
  </si>
  <si>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for a closer, high resolution look at Dr. Diana Marmont's hair.
 https://lnkd.in/gADUJqTW
 #AlanWake2 #TheLakeHouse #RemedyEntertainment #LittleRedZombies #GameArt #CharacterArt #NPCDesign #OutsourcingStudio #GameDev #LRZ</t>
  </si>
  <si>
    <t>2025-07-25T09:35:39.955Z</t>
  </si>
  <si>
    <t>Alan Wake II: The Lake House - Dr. Diana Marmont Hair</t>
  </si>
  <si>
    <t>https://www.linkedin.com/posts/littleredzombies_alan-wake-ii-the-lake-house-fbc-hazmat-activity-7354043731521531905-WFHv?utm_source=combined_share_message&amp;utm_medium=member_desktop&amp;rcm=ACoAAGNYwmMBHH05CVFu0KpJR4gGCaJ72HAoAEU</t>
  </si>
  <si>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continued opportunity to contribute to such an atmospheric world.
 Head to our ArtStation for a closer, high resolution look at the FBC Hazmat Suit.
 https://lnkd.in/gVSKibSF
 #AlanWake2 #LakeHouse #RemedyEntertainment #LittleRedZombies #GameArt #CharacterArt #NPCDesign #OutsourcingStudio #GameDev #LRZ</t>
  </si>
  <si>
    <t>2025-07-24T07:04:17.120Z</t>
  </si>
  <si>
    <t>Alan Wake II: The Lake House – FBC Hazmat Suit</t>
  </si>
  <si>
    <t>https://www.linkedin.com/posts/littleredzombies_tgs-tokyogameshow-tgs2025-activity-7373698137548500993-gNee?utm_source=combined_share_message&amp;utm_medium=member_desktop&amp;rcm=ACoAAFce_nsBbiRtt68DTPlmsCV_Z5I7to81vX8</t>
  </si>
  <si>
    <t>We are excited to share that Little Red Zombies will be participating in the Tokyo Game 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https://lnkd.in/d-ptw22d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https://lnkd.in/d-ptw22d
 #TGS #TokyoGameShow #TGS2025 #LittleRedZombies #LRZ</t>
  </si>
  <si>
    <t>2025-09-16T12:43:52.678Z</t>
  </si>
  <si>
    <t>https://www.linkedin.com/posts/littleredzombies_gameart-3dart-characterart-activity-7371536687539281921--1C4?utm_source=combined_share_message&amp;utm_medium=member_desktop&amp;rcm=ACoAAFce_nsBbiRtt68DTPlmsCV_Z5I7to81vX8</t>
  </si>
  <si>
    <t>We’re Hiring – Realtime Hair &amp; Fur Artists (On-Site Only)
 What We’re Looking For:
 • Strong portfolio showcasing real-time card workflows, groom workflows, and fur work
 • Proficiency in XGen, Maya/Max, Houdini
 • Skilled in Unreal Engine, can integrate assets, set up materials/LODs, and validate inengine
 • Strong fundamentals in understanding hair &amp; fur construction 
 • Strong communication, collaboration, and openness to feedback
  A quality-focused portfolio is the first thing we look at before moving forward with later stages. So, show us your best!
  Send your portfolio and updated resume to careers@littleredzombies.com with the subject "Application - Realtime Hair &amp; Fur Artist".
 #GameArt #3DArt #CharacterArt #RealTime #GameJobs #Hiring
 #LittleRedZombies #LRZ</t>
  </si>
  <si>
    <t>2025-09-10T13:35:02.838Z</t>
  </si>
  <si>
    <t>https://www.linkedin.com/posts/littleredzombies_gameart-3dart-characterart-activity-7371177157705916416-I8A8?utm_source=combined_share_message&amp;utm_medium=member_desktop&amp;rcm=ACoAAFce_nsBbiRtt68DTPlmsCV_Z5I7to81vX8</t>
  </si>
  <si>
    <t>We’re Hiring – Stylized Character Artists (On-Site Only)
 Little Red Zombies is looking for a passionate Stylized Character Artists to join our team.
  What We’re Looking For
 ✅ Strong portfolio showcasing stylized 3D characters
  ✅ Proficiency in ZBrush, Maya/Max, and Substance Painter
  ✅ Ability to create efficient, game-ready meshes and textures with clean topology and UVs
  ✅ Solid art fundamentals and sense of design in a stylized context
  ✅ Strong communication, collaboration, and openness to feedback
  A quality focused portfolio is the first thing we look at before anything else that we save for later stages. So show us your best!
  Send your portfolio and updated resume to careers@littleredzombies.com
 #GameArt #3DArt #CharacterArt #StylizedArt #GameJobs #Hiring #LittleRedZombies</t>
  </si>
  <si>
    <t>2025-09-09T13:46:24.246Z</t>
  </si>
  <si>
    <t>https://www.linkedin.com/posts/littleredzombies_xds-xds2025-gamedev-activity-7370806403491536896-6QdO?utm_source=combined_share_message&amp;utm_medium=member_desktop&amp;rcm=ACoAAFce_nsBbiRtt68DTPlmsCV_Z5I7to81vX8</t>
  </si>
  <si>
    <t>✨ What an incredible week at External Development Summit (XDS)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Tokyo Game Show next week, and to more milestones ahead! 
 #XDS #XDS2025 #gamedev #externaldevelopment #LittleRedZombies #characterart</t>
  </si>
  <si>
    <t>2025-09-08T13:13:09.553Z</t>
  </si>
  <si>
    <t>https://www.linkedin.com/posts/littleredzombies_were-hiring-project-managers-little-activity-7367794031113793536-4C3-?utm_source=combined_share_message&amp;utm_medium=member_desktop&amp;rcm=ACoAAFce_nsBbiRtt68DTPlmsCV_Z5I7to81vX8</t>
  </si>
  <si>
    <t>We’re Hiring – Project Managers
 Little Red Zombies is on the lookout for experienced Project Managers to help us deliver on some of the world’s biggest AAA titles.
  What You’ll Do 
 - Lead end-to-end project delivery, ensuring on-time, high-quality results
 - Act as the bridge between clients and our art teams providing proactive updates and clear documentation regularly
 - Strong analytical skills to track KPIs, forecast resources, track progress, anticipate risks, and structured reporting
 - Collaborate with Art Leads, QC, and cross-functional teams to streamline workflows
 - Motivate and guide teams while maintaining strong client relationships
  What We’re Looking For
 - Excellent communication, leadership, and problem-solving abilities
 - ⁠2+ Years in AAA or large-scale game/CG production pipelines
 - Clear and confident English communication both written and spoken
 - Strong client-facing skills with international exposure
 - Familiarity with 3D art pipelines &amp; PM tools (Excel, Jira, ShotGrid, Asana, etc.)
 - PMP or Agile/SCRUM certifications are a plus
 If you’re passionate about gaming culture and want to contribute, we’d love to hear from you.
  Drop us an email at careers@littleredzombies.com with the subject “Application – Project Manager”.</t>
  </si>
  <si>
    <t>2025-08-31T05:43:04.011Z</t>
  </si>
  <si>
    <t>https://www.linkedin.com/posts/littleredzombies_xds-xds2025-externaldevelopmentsummit-activity-7366003457884868609-ZncY?utm_source=combined_share_message&amp;utm_medium=member_desktop&amp;rcm=ACoAAFce_nsBbiRtt68DTPlmsCV_Z5I7to81vX8</t>
  </si>
  <si>
    <t>We’re excited to continue our participation at the External Development Summit (XDS) 2025 in Vancouver this September, where we’ll be marking our fourth year as a Gold Sponsor.
 At Booth 12, we will be showcasing our expertise in AAA 3D Character Art, with services that include:
 - 3D Characters &amp; Creatures for AAA Games
 - Realistic X-Gen Hair &amp; Fur
 LRZ's CEO &amp; Managing Director, SriRam ChandraXDSTGS, will be attending, and we look forward to reconnecting with studios and partners, sharing our latest work, and exploring new opportunities for collaboration.
 Explore our portfolio here: https://lnkd.in/d-ptw22d
 #XDS #XDS2025 #ExternalDevelopmentSummit #Exdev #LRZ #LittleRedZombies</t>
  </si>
  <si>
    <t>2025-08-26T07:07:58.086Z</t>
  </si>
  <si>
    <t>https://www.linkedin.com/posts/littleredzombies_pax-dei-blacksmith-activity-7364274316663795712-4NQr?utm_source=combined_share_message&amp;utm_medium=member_desktop&amp;rcm=ACoAAFce_nsBbiRtt68DTPlmsCV_Z5I7to81vX8</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</si>
  <si>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blacksmith's outfit! 
 https://lnkd.in/gAB8DvAx
 #MainframeIndustries #Medieval #Outfits #PaxDei #MMO #Sandbox #LittleRedZombies #LRZ</t>
  </si>
  <si>
    <t>2025-08-21T12:36:58.693Z</t>
  </si>
  <si>
    <t>Pax Dei - Blacksmith</t>
  </si>
  <si>
    <t>https://www.linkedin.com/posts/littleredzombies_pax-dei-doublet-leather-armor-activity-7364273896230957056-LtJC?utm_source=combined_share_message&amp;utm_medium=member_desktop&amp;rcm=ACoAAFce_nsBbiRtt68DTPlmsCV_Z5I7to81vX8</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</si>
  <si>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doublet &amp; leather armor! 
 https://lnkd.in/gwCDsFB3
 #MainframeIndustries #Medieval #Outfits #PaxDei #MMO #Sandbox #LittleRedZombies #LRZ</t>
  </si>
  <si>
    <t>2025-08-21T12:35:18.454Z</t>
  </si>
  <si>
    <t>Pax Dei - Doublet &amp; Leather Armor</t>
  </si>
  <si>
    <t>https://www.linkedin.com/posts/littleredzombies_pax-dei-medieval-armor-tabard-activity-7364272247403917313-is6O?utm_source=combined_share_message&amp;utm_medium=member_desktop&amp;rcm=ACoAAFce_nsBbiRtt68DTPlmsCV_Z5I7to81vX8</t>
  </si>
  <si>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for a closer look at the medieval armor &amp; tabard! 
 https://lnkd.in/gVDJWqAJ
 #MainframeIndustries #Medieval #Outfits #PaxDei #MMO #Sandbox #LittleRedZombies #LRZ</t>
  </si>
  <si>
    <t>2025-08-21T12:28:45.343Z</t>
  </si>
  <si>
    <t>Pax Dei - Medieval Armor &amp; Tabard</t>
  </si>
  <si>
    <t>https://www.linkedin.com/posts/littleredzombies_split-fiction-ice-king-fur-activity-7359206563145764864-eG6U?utm_source=combined_share_message&amp;utm_medium=member_desktop&amp;rcm=ACoAAFce_nsBbiRtt68DTPlmsCV_Z5I7to81vX8</t>
  </si>
  <si>
    <t>A look at the fur pass for the Ice King, one of the central antagonists in Split Fiction. Built to match the visual tone of Zoe’s fantasy realm, this character was a key piece of the game’s narrative arc.
 Special thanks to Character Art Director Jacob Larsson and the Hazelight Studios for the collaboration.
 Really appreciate the trust and feedback that helped bring the Ice King to life.
 Head to our ArtStation for a closer, hi-res look at the Ice King's fur!
 https://lnkd.in/gWZe9GWS
 #SplitFiction #HazelightStudios #Hair #IceKing #CharacterArt #CharacterDesign #RealTime #LittleRedZombies #LRZ #GameArt</t>
  </si>
  <si>
    <t>2025-08-07T12:59:32.100Z</t>
  </si>
  <si>
    <t>Split Fiction - Ice King Fur</t>
  </si>
  <si>
    <t>https://www.linkedin.com/posts/littleredzombies_gamedev-analytics-hiring-activity-7403807110196621312-jqKx?utm_source=combined_share_message&amp;utm_medium=member_desktop&amp;rcm=ACoAAFce_nsBbiRtt68DTPlmsCV_Z5I7to81vX8</t>
  </si>
  <si>
    <t>We’re Hiring – Data Visualization Artist (On Site Only)
 Little Red Zombies is looking for a Data Visualization Artist who can turn open ended information into clear, insight driven dashboards that help the studio make better decisions.
 What You Will Do
 - Build clear, intuitive dashboards that help teams make informed decisions.
 - Identify what data matters, define metrics, and ensure logical consistency across all views.
 - Gather and organize data from multiple departments into structured, usable formats.
 - Highlight trends, issues, and opportunities using visual indicators and interactive drill downs.
 - Work within Google Sheets to design dashboards that scale smoothly.
 - Translate raw information into actionable insights for leadership and production teams.
  What We Are Looking For
 - Mandatory experience in building dashboards in Google Sheets.
 - Strong analytical thinking and the ability to bring clarity to ambiguous information.
 - Good understanding of metric design, formulas, and data structure.
 - Clean, visual sense of layout and an ability to communicate insights clearly.
 - Ability to work independently, gather information proactively, and explain the reasoning behind each metric.
 - Curiosity, initiative, and a willingness to refine work using AI and industry standards.
 Nice To Have
 - Experience with Excel, Looker Studio, Power BI or similar tools.
 - Understanding of production or creative pipelines in gaming or related fields.
 If you are someone who enjoys connecting dots, telling stories through data, and building systems that others can easily use and maintain, we would love to hear from you.
  Drop us an email at careers@littleredzombies.comwith the subject “Application – Data Visualization Analyst” and attach your resume along with links or samples of dashboards you have built.
 #GameDev #Analytics #Hiring #LittleRedZombies #Data #GamingCareers #WeAreHiring #DataAnalytics</t>
  </si>
  <si>
    <t>2025-12-08T14:46:11.155Z</t>
  </si>
  <si>
    <t>https://www.linkedin.com/posts/littleredzombies_migs2025-migs-gameart-activity-7399773441941409792-ul1g?utm_source=combined_share_message&amp;utm_medium=member_desktop&amp;rcm=ACoAAFce_nsBbiRtt68DTPlmsCV_Z5I7to81vX8</t>
  </si>
  <si>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</si>
  <si>
    <t>2025-11-27T11:37:49.701Z</t>
  </si>
  <si>
    <t>https://www.linkedin.com/posts/littleredzombies_call-of-duty-black-ops-7-has-landed-discover-activity-7397143995300143104-NnA8?utm_source=combined_share_message&amp;utm_medium=member_desktop&amp;rcm=ACoAAFce_nsBbiRtt68DTPlmsCV_Z5I7to81vX8</t>
  </si>
  <si>
    <t>It’s always exciting to continue our partnership with Activision on the Call of Duty franchise, and we’re thrilled to have contributed once again to this iconic series with Call of Duty: Black Ops 7. We worked on several hairstyles for story characters as well as multiplayer operators, and it’s been a privilege to be part of a world that has been so close to LRZ’s journey over the years.
 Congratulations to everyone on the dev team and all the partner studios who helped bring this chapter of Call of Duty to life!</t>
  </si>
  <si>
    <t>2025-11-20T05:29:20.769Z</t>
  </si>
  <si>
    <t>https://www.linkedin.com/posts/littleredzombies_callofduty-callofdutyblackops-callofdutyblackops7-activity-7396191181174444032-0KLd?utm_source=combined_share_message&amp;utm_medium=member_desktop&amp;rcm=ACoAAFce_nsBbiRtt68DTPlmsCV_Z5I7to81vX8</t>
  </si>
  <si>
    <t>2025-11-17T14:23:12.179Z</t>
  </si>
  <si>
    <t>https://www.linkedin.com/posts/littleredzombies_the-outer-worlds-2-has-landed-discover-activity-7391757190388314112-wprO?utm_source=combined_share_message&amp;utm_medium=member_desktop&amp;rcm=ACoAAFce_nsBbiRtt68DTPlmsCV_Z5I7to81vX8</t>
  </si>
  <si>
    <t>It has been a privilege to continue our partnership with Obsidian Entertainment on The Outer Worlds 2! We created multiple hairstyles and outfits for the game's characters, contributing to the rich visual style and personality that define the sci-fi world.
 Congratulations to everyone on the dev team and all the partner studios who contributed to evolving this incredible universe!</t>
  </si>
  <si>
    <t>2025-11-05T08:44:06.396Z</t>
  </si>
  <si>
    <t>https://www.linkedin.com/posts/littleredzombies_migs-migs25-migs2025-activity-7391423416345493504-8MFQ?utm_source=combined_share_message&amp;utm_medium=member_desktop&amp;rcm=ACoAAFce_nsBbiRtt68DTPlmsCV_Z5I7to81vX8</t>
  </si>
  <si>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</si>
  <si>
    <t>2025-11-04T10:37:48.463Z</t>
  </si>
  <si>
    <t>https://www.linkedin.com/posts/littleredzombies_littleredzombies-lrz-halloween-activity-7390408528647184384-Ra7S?utm_source=combined_share_message&amp;utm_medium=member_desktop&amp;rcm=ACoAAFce_nsBbiRtt68DTPlmsCV_Z5I7to81vX8</t>
  </si>
  <si>
    <t>2025-11-01T15:25:00.380Z</t>
  </si>
  <si>
    <t>https://www.linkedin.com/posts/littleredzombies_from-all-of-us-at-little-red-zombies-wishing-activity-7384957275121307648-FlXE?utm_source=combined_share_message&amp;utm_medium=member_desktop&amp;rcm=ACoAAFce_nsBbiRtt68DTPlmsCV_Z5I7to81vX8</t>
  </si>
  <si>
    <t>2025-10-17T14:23:40.260Z</t>
  </si>
  <si>
    <t>https://www.linkedin.com/posts/littleredzombies_were-proud-to-spotlight-little-red-zombies-activity-7384829687950135296-8kL_?utm_source=combined_share_message&amp;utm_medium=member_desktop&amp;rcm=ACoAAFce_nsBbiRtt68DTPlmsCV_Z5I7to81vX8</t>
  </si>
  <si>
    <t>We're proud to continue supporting the XDS Spark platform as a Platinum Partner. 
 It’s a privilege to be part of such an inspiring community. We remain committed to supporting the platform and its mission to empower collaboration within the global external development community.</t>
  </si>
  <si>
    <t>2025-10-17T05:56:41.108Z</t>
  </si>
  <si>
    <t>https://www.linkedin.com/posts/littleredzombies_tgs-tgs2025-tokyogameshow-activity-7377333403899088897-2Amy?utm_source=combined_share_message&amp;utm_medium=member_desktop&amp;rcm=ACoAAFce_nsBbiRtt68DTPlmsCV_Z5I7to81vX8</t>
  </si>
  <si>
    <t>2025-09-26T13:29:07.716Z</t>
  </si>
  <si>
    <t>https://www.linkedin.com/posts/littleredzombies_hiring-facilitymanagement-operations-activity-7439648897771229187-1ekl?utm_source=combined_share_message&amp;utm_medium=member_desktop&amp;rcm=ACoAADzoKcQBgvVxEtgTp616StYABJvYyT5IbUY</t>
  </si>
  <si>
    <t>We’re Hiring - Facility Supervisor (On Site | Hyderabad)
 Little Red Zombies is looking for a Facility Supervisor to own and ensure the smooth day-to-day functioning of all facility and administrative operations on-ground. This role requires strong control across teams, vendors, and processes to ensure the workplace runs efficiently without dependency or escalation.
  The role is based out of Hyderabad, and candidates who can join immediately or with notice period up to 30 days preferred.
  Key Responsibilities
 • Operational Control: Ensure facility operations run smoothly with no disruption and timely issue resolution
 • Team Supervision: Drive accountability and timely execution across all on-ground support functions
 • Vendor Management: Manage vendors to ensure delivery as per quality standards and timelines with strong follow-up
 • Procurement: Ensure timely procurement of materials and maintain control over inventory
 • Maintenance &amp; Renovation: Oversee repairs, maintenance, and workspace improvements to ensure closure
 • Events Coordination: Coordinate office events and internal requirements smoothly
 • Travel Management: Manage end-to-end international travel and accommodation including bookings, documentation, and vendor coordination
 • Cost &amp; Reporting: Maintain expense control and provide clear updates on status and issues
  What We Are Looking For
 • Strong ownership and execution focus
 • Ability to manage multiple functions without supervision gaps
 • Strong follow-up and problem-solving approach
 • Experience in vendor handling, procurement, and expense control
 • Good communication skills with ability to coordinate across teams and vendors
 • Ability to take charge and drive operations independently
 • Fluency in Telugu, Hindi, and English
  Experience
 • 4 to 7 years in facility, admin, or operations roles with ownership of day-to-day operations
 • Minimum graduation required, preference for candidates from a finance or accounts background
 • Experience in team supervision, vendor management, procurement, and maintenance coordination
 • Exposure to renovations, office events, expense tracking, and international travel coordination
 If you are someone who can take ownership of operations, drive execution, and ensure a smooth functioning workplace environment, we would love to hear from you.
  Send your resume to careers@littleredzombies.com with the subject Application – Facility Supervisor
 #Hiring #FacilityManagement #Operations #AdminJobs #WeAreHiring #LittleRedZombies #LRZ</t>
  </si>
  <si>
    <t>2026-03-17T12:28:39.221Z</t>
  </si>
  <si>
    <t>https://www.linkedin.com/posts/littleredzombies_were-excited-to-share-that-little-red-zombies-activity-7439180119367163904-PoOX?utm_source=combined_share_message&amp;utm_medium=member_desktop&amp;rcm=ACoAADzoKcQBgvVxEtgTp616StYABJvYyT5IbUY</t>
  </si>
  <si>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
 Official First Look Trailer: 
 https://lnkd.in/eWf7JrKV
 Kintsugiyama Website:
 https://lnkd.in/e8cRRDPk
 Steam (Wishlist now):
 https://lnkd.in/e2jAcJZj</t>
  </si>
  <si>
    <t>2026-03-16T05:25:53.740Z</t>
  </si>
  <si>
    <t>https://www.linkedin.com/posts/littleredzombies_were-hiring-hr-associate-on-site-activity-7429167291441008640-xjx2?utm_source=combined_share_message&amp;utm_medium=member_desktop&amp;rcm=ACoAADzoKcQBgvVxEtgTp616StYABJvYyT5IbUY</t>
  </si>
  <si>
    <t>We’re Hiring – HR Associate (On Site | Hyderabad)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The role is based out of our Hyderabad studio, and candidates currently based out of Hyderabad will be preferred.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enjoy structured processes, people interaction, and building strong hiring systems, we would love to hear from you.
  Drop your updated resume at careers@littleredzombies.com with the subject line Application – HR Associate</t>
  </si>
  <si>
    <t>2026-02-16T14:18:29.533Z</t>
  </si>
  <si>
    <t>https://www.linkedin.com/posts/littleredzombies_were-hiring-technical-animator-on-activity-7427366358344007680-lqWt?utm_source=combined_share_message&amp;utm_medium=member_desktop&amp;rcm=ACoAADzoKcQBgvVxEtgTp616StYABJvYyT5IbUY</t>
  </si>
  <si>
    <t>We’re Hiring – Technical Animator (On Site)
  Role Overview
 The Technical Animator will support game character rigging and animation production by bridging art, animation, and technical disciplines. The role focuses on maintaining asset quality, identifying technical risks early, and ensuring smooth, efficient workflows throughout production.
 Key Responsibilities
 • Support and troubleshoot character rigging and animation workflows
 • Support the use of auto-rigging tools and address technical issues impacting production
 • Perform rigging, skinning, and deformation fixes for technical edge cases
 • Conduct early technical reviews of character concepts and assets such as deformation, segmentation, and feasibility
 • Proactively identify and flag technical risks before production or refinement stages
 • Collaborate with tools and pipeline teams to report issues and improve workflow stability
 • Support production by resolving issues without blocking artist productivity
 Skills &amp; Strengths Required
 • Proven experience in game character rigging and animation
 • Strong understanding of game-ready deformation, skinning, and rig constraints
 • Experience working with auto-rigging tools in a production environment
 • Ability to identify and resolve technical issues within established workflows
 • Strong communication skills with the ability to provide clear, actionable technical feedback
  Nice to Have
 • Experience working on AAA game titles or large-scale productions
 • Familiarity with custom tools, automation, or validation workflows
 • Scripting or technical debugging experience such as Python or Maya
 If you are passionate about character rigging for real time production, we would love to hear from you.
  Send your resume and portfolio to careers@littleredzombies.com
  with the subject “Application – Technical Animator”</t>
  </si>
  <si>
    <t>2026-02-11T15:02:13.623Z</t>
  </si>
  <si>
    <t>https://www.linkedin.com/posts/littleredzombies_gds-gamedevsummit-gds2026-activity-7426981188956856320-nkV7?utm_source=combined_share_message&amp;utm_medium=member_desktop&amp;rcm=ACoAADzoKcQBgvVxEtgTp616StYABJvYyT5IbUY</t>
  </si>
  <si>
    <t>GameDev Summit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#GDS2026 #GameDev #Outsourcing #ExternalDevelopment #LittleRedZombies #LRZ</t>
  </si>
  <si>
    <t>2026-02-10T13:31:42.085Z</t>
  </si>
  <si>
    <t>https://www.linkedin.com/posts/littleredzombies_the-outer-worlds-2-hair-activity-7425472333852749824-SQWn?utm_source=combined_share_message&amp;utm_medium=member_desktop&amp;rcm=ACoAADzoKcQBgvVxEtgTp616StYABJvYyT5IbUY</t>
  </si>
  <si>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for hi-res shots of the featured hairstyles!
 https://lnkd.in/gqmWHHBa 
 #TheOuterWorlds2 #ObsidianEntertainment #GameArt #CharacterArt #HairArt #RPG #LittleRedZombies #LRZ</t>
  </si>
  <si>
    <t>2026-02-06T09:36:02.995Z</t>
  </si>
  <si>
    <t>The Outer Worlds 2 - Hair</t>
  </si>
  <si>
    <t>https://www.linkedin.com/posts/littleredzombies_gds-gamedevsummit-gds2026-activity-7420439657164726272-uBmf?utm_source=combined_share_message&amp;utm_medium=member_desktop&amp;rcm=ACoAADzoKcQBgvVxEtgTp616StYABJvYyT5IbUY</t>
  </si>
  <si>
    <t>We’re thrilled to share that Little Red Zombies will be heading to the Philippines in February to continue our participation at the GameDev Summit (GDS) 2026.
 Representing LRZ on the ground will be our Studio Head, Naky Solanki GDS, and Strategy Manager, Anil Bhol.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</si>
  <si>
    <t>2026-01-23T12:17:59.370Z</t>
  </si>
  <si>
    <t>https://www.linkedin.com/posts/littleredzombies_christmas-seasonsgreetings-littleredzombies-activity-7409982843533266944-7pV9?utm_source=combined_share_message&amp;utm_medium=member_desktop&amp;rcm=ACoAADzoKcQBgvVxEtgTp616StYABJvYyT5IbUY</t>
  </si>
  <si>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
 #Christmas #SeasonsGreetings #LittleRedZombies</t>
  </si>
  <si>
    <t>2025-12-25T15:46:20.722Z</t>
  </si>
  <si>
    <t>https://www.linkedin.com/posts/littleredzombies_hiring-humanresources-recruitment-activity-7405260047292825600-dZOV?utm_source=combined_share_message&amp;utm_medium=member_desktop&amp;rcm=ACoAADzoKcQBgvVxEtgTp616StYABJvYyT5IbUY</t>
  </si>
  <si>
    <t>We’re Hiring - HR Associate (On Site Only)
 Little Red Zombies is looking for an HR Associate to manage end to end recruitment for technical and creative roles while supporting core HR operations. The role requires strong coordination, structured process management, and ownership of hiring activities. You will work closely with the HR Manager and are expected to demonstrate high accountability while driving the function effectively.
  What You Will Do
 1. Talent Acquisition
 - Manage end to end hiring
 - Conduct HR screening and shortlist suitable applicants
 - Coordinate online or on site art tests, interviews, and follow ups
 - Maintain recruitment trackers and dashboards
 - Build and maintain a talent pipeline for priority roles
 2. Recruitment Operations
 - Publish job postings as per internal guidelines
 - Support hiring drives, walk ins, or campus hiring when needed
 - Coordinate with relevant department stakeholders for feedback and closures
 3. HR Operations
 - Maintain attendance dashboards, HR trackers, and documentation
 - Support onboarding and offboarding processes and file maintenance
 4. Statutory Compliance (Preferable)
 - Assist with PF, ESI, PT documentation and follow ups
 - Support basic statutory renewals and compliance file upkeep
  What We Are Looking For
 - Strong understanding of recruitment and evaluation practices
 - Prompt and professional communication with applicants
 - Excellent communication skills with a high level of coordination
 - Organized, detail oriented, and proactive
 - Familiarity with MS Office and Google Sheets
  Qualifications
 - A minimum of a Bachelor’s degree in Human Resources is essential
 - 1 to 3 years of recruitment experience; Gaming or CG industry preferred
  What We Value
 - Fast learner with strong ownership
 - Ability to manage multiple hiring pipelines and operational tasks effectively
 If you are someone who enjoys structured processes, people interaction, and building strong hiring systems, we would love to hear from you.
  Drop us an email at careers@littleredzombies.com with the subject Application – HR Associate
 #Hiring #HumanResources #Recruitment #HrAssociate #GameDev #WeAreHiring #Careers #GameDevJobs #LittleRedZombies</t>
  </si>
  <si>
    <t>2025-12-12T14:59:38.353Z</t>
  </si>
  <si>
    <t>https://www.linkedin.com/posts/littleredzombies_thegameawards-thegameawards2025-tga2025-activity-7404469729119170560-7vUY?utm_source=combined_share_message&amp;utm_medium=member_desktop&amp;rcm=ACoAADzoKcQBgvVxEtgTp616StYABJvYyT5IbUY</t>
  </si>
  <si>
    <t>The Game Awards 2025 is almost here, and it’s exciting to see some of the titles we worked on nominated this year.
 We’re incredibly proud to have been part of the journey on these. Congratulations to everyone and best of luck to all the nominees. We're cheering for you! 
 #TheGameAwards #TheGameAwards2025 #TGA2025 #TGA #ExternalDevelopment #GameDev #GameOutsourcing #LittleRedZombies</t>
  </si>
  <si>
    <t>2025-12-10T10:39:11.817Z</t>
  </si>
  <si>
    <t>https://www.linkedin.com/posts/littleredzombies_were-hiring-project-coordinator-hyderabad-activity-7458511707896791040-D6Sv?utm_source=combined_share_message&amp;utm_medium=member_desktop&amp;rcm=ACoAAAkSQb0Bsc94sZROmun7Rg4RHsXd8c7GfoA</t>
  </si>
  <si>
    <t>We’re Hiring | Project Coordinator (Hyderabad: On-site only)
 We are looking for a proactive and organized Project Coordinator to support our production pipeline at Little Red Zombies Studios. The ideal candidate should have strong communication and coordination skills, with the ability to manage timelines, tasks, and collaboration across teams efficiently.
  Experience: 1-3 years
  Role Type: Full-time (Onsite - Hyderabad)
  Key Responsibilities:
 • Track project timelines, milestones, and deliverables to ensure on-time execution
 • Act as a communication bridge between artists, internal teams, and clients
 • Organize tasks, manage priorities, and maintain production schedules
 • Facilitate feedback loops and ensure timely implementation of revisions
 • Identify risks or bottlenecks and proactively drive solutions
 • Maintain documentation and ensure pipeline/process adherence
  Requirements:
 • 1–3 years of experience in project coordination or production (game art/animation/VFX preferred)
 • Strong understanding of art production pipelines 
 • Excellent communication and organizational skills
 • Experience with tools like Jira, ShotGrid, Trello, or similar
 • Ability to manage multiple tasks and deadlines efficiently
 How to Apply
 Please share your latest resume directly at careers@littleredzombies.com</t>
  </si>
  <si>
    <t>2026-05-08T13:42:43.609Z</t>
  </si>
  <si>
    <t>https://www.linkedin.com/posts/xds-spark_huge-congrats-to-the-xds-spark-members-who-ugcPost-7457849100961726464-kEvH?utm_source=combined_share_message&amp;utm_medium=member_desktop&amp;rcm=ACoAAAkSQb0Bsc94sZROmun7Rg4RHsXd8c7GfoA</t>
  </si>
  <si>
    <t>Huge congrats to the XDS Spark members who contributed to Saros, Housemarque’s latest release.
 From the scale to the atmosphere, this one already stands out with incredible reviews, driven by strong work from the studios behind it.
 Take a closer look at the studios in XDS Spark → https://lnkd.in/gNsggAR2</t>
  </si>
  <si>
    <t>2026-05-07T03:00:04.927Z</t>
  </si>
  <si>
    <t>https://www.linkedin.com/posts/xds-spark_character-work-at-this-level-shapes-the-final-ugcPost-7454921593027420160-Lyek?utm_source=combined_share_message&amp;utm_medium=member_desktop&amp;rcm=ACoAAAkSQb0Bsc94sZROmun7Rg4RHsXd8c7GfoA</t>
  </si>
  <si>
    <t>Character work at this level shapes the final experience.
 Little Red Zombies Studios Pvt. Ltd is a Platinum Partner on XDS Spark, specializing in AAA 3D character production across outfits, hair, anatomy, and creatures.
 With over a decade of experience, their team has contributed to both lead and NPC characters across major titles, working with studios including Xbox Game Studios, PlayStation Studios, Ubisoft, WB Games, EA, and more.
 For teams evaluating partners, that kind of focused expertise brings more confidence when it comes to character quality and consistency in production.
 Take a closer look → https://lnkd.in/gw5aQrB3
 A big thank you to the Little Red Zombies team for their continued support of Spark!</t>
  </si>
  <si>
    <t>2026-04-29T04:50:52.915Z</t>
  </si>
  <si>
    <t>https://www.linkedin.com/posts/littleredzombies_were-hiring-it-specialist-network-activity-7448365478084771840-ou11?utm_source=combined_share_message&amp;utm_medium=member_desktop&amp;rcm=ACoAAAkSQb0Bsc94sZROmun7Rg4RHsXd8c7GfoA</t>
  </si>
  <si>
    <t>We’re Hiring: IT Specialist – Network &amp; Security
 We are looking for a proactive and hands-on IT Specialist – Network &amp; Security with strong experience in client security assessments (DDQs) and compliance management. This role requires ownership across compliance, security operations, networking, and IT infrastructure.
  Experience: 4+ years
  Role Type: Full-time (Onsite)
  Key Responsibilities:
 • Handle client DDQs, security questionnaires, audits, and evidence submissions (primary responsibility)
 • Support and maintain compliance frameworks (ISO 27001, TPN) and related documentation
 • Manage and secure network infrastructure (LAN/WAN, Wi-Fi, VPN, firewalls – SonicWall)
 • Administer Windows, Linux &amp; Active Directory (RBAC, GPOs, user lifecycle management)
 • Own endpoint security tools (Trellix ePO, DLP) and ensure policy enforcement
 • Monitor systems, investigate security incidents, and perform RCA
 • Oversee VAPT coordination, patch management, backups, and disaster recovery
 • Maintain IT asset management, access control, and infrastructure documentation
 • Collaborate with internal teams and external vendors for security and infra requirements
 ✅ Requirements:
 • Experience in handling DDQs / client security assessments (mandatory)
 • Good understanding of ISO 27001, TPN, and security best practices
 • Minimum **4 years of experience** in Networking, IT Security, and Infrastructure management
 • Strong hands-on experience with firewalls, VPNs, LAN/WAN, and network security
 • Proficiency in Windows, Linux, and Active Directory administration
 • Experience with endpoint security, patching, and vulnerability management
 • Ability to take ownership, work independently, and manage multiple priorities</t>
  </si>
  <si>
    <t>2026-04-10T13:45:13.914Z</t>
  </si>
  <si>
    <t>https://www.linkedin.com/posts/littleredzombies_celebrating-our-latest-platinum-partners-activity-7448055287036497920-5Orl?utm_source=combined_share_message&amp;utm_medium=member_desktop&amp;rcm=ACoAAAkSQb0Bsc94sZROmun7Rg4RHsXd8c7GfoA</t>
  </si>
  <si>
    <t>Excited to be back as a Platinum Partner on XDS Spark for the third year ⭐
 XDS Spark plays an important role in bringing studios together and enabling stronger collaboration across the global external development community.
 We’re grateful to be in such strong company and look forward to the conversations ahead.</t>
  </si>
  <si>
    <t>2026-04-09T17:12:38.605Z</t>
  </si>
  <si>
    <t>https://www.linkedin.com/posts/littleredzombies_xds2026-externaldevelopment-gamedev-activity-7445340519565770752-jWSK?utm_source=combined_share_message&amp;utm_medium=member_desktop&amp;rcm=ACoAAAkSQb0Bsc94sZROmun7Rg4RHsXd8c7GfoA</t>
  </si>
  <si>
    <t>Proud to continue our journey with the External Development Summit (XDS) as a Gold Sponsor for 2026. ⭐
 This marks our 5th year supporting the summit in this capacity, and also our 10th year of participation in a community that has played an important role in shaping our relationships and growth over the years.
 We’re grateful to be part of a global network that continues to bring studios together, foster collaboration, and push the external development industry forward. Looking forward to reconnecting with partners and meeting new teams at XDS 2026.</t>
  </si>
  <si>
    <t>2026-04-02T05:25:07.602Z</t>
  </si>
  <si>
    <t>https://www.linkedin.com/posts/littleredzombies_avowed-fauna-activity-7444685096575578112-SPlf?utm_source=combined_share_message&amp;utm_medium=member_desktop&amp;rcm=ACoAAAkSQb0Bsc94sZROmun7Rg4RHsXd8c7GfoA</t>
  </si>
  <si>
    <t>Here’s more from our work on Avowed, our first collaboration with Obsidian Entertainment.
 Alongside hair and creature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With this release, we wrap up our Avowed portfolio rollout.
 Congratulations to everyone who contributed to this project! 
 Explore the full set of creature work on our ArtStation:
 https://lnkd.in/gGDzy3eq
 #Avowed #ObsidianEntertainment #CreatureArt #GameArt #CharacterArt #TheGameAwards2025 #Fauna #LittleRedZombies #LRZ</t>
  </si>
  <si>
    <t>2026-03-31T10:00:42.584Z</t>
  </si>
  <si>
    <t>Avowed - Fauna</t>
  </si>
  <si>
    <t>https://www.linkedin.com/posts/littleredzombies_avowed-creatures-activity-7444683519798288384-yTYK?utm_source=combined_share_message&amp;utm_medium=member_desktop&amp;rcm=ACoAAAkSQb0Bsc94sZROmun7Rg4RHsXd8c7GfoA</t>
  </si>
  <si>
    <t>Here’s more from our work on Avowed, our first collaboration with Obsidian Entertainment.
 Alongside character work, LRZ also contributed to creatures featured across the game’s environments and gameplay, helping bring more life and variety to the world.
 We’re grateful to Obsidian Entertainment for the trust placed in us during this collaboration, and proud to have been part of a title nominated for Best RPG at The Game Awards 2025.
 Explore the full set of creature work on our ArtStation:
 https://lnkd.in/gVnMM6Qk
 #Avowed #ObsidianEntertainment #CreatureArt #GameArt #CharacterArt #TheGameAwards2025 #LittleRedZombies #LRZ</t>
  </si>
  <si>
    <t>2026-03-31T09:54:26.651Z</t>
  </si>
  <si>
    <t>Avowed - Creatures</t>
  </si>
  <si>
    <t>https://www.linkedin.com/posts/littleredzombies_avowed-hair-contribution-activity-7444321014265757696-wJrb?utm_source=combined_share_message&amp;utm_medium=member_desktop&amp;rcm=ACoAAAkSQb0Bsc94sZROmun7Rg4RHsXd8c7GfoA</t>
  </si>
  <si>
    <t>We’re excited to share our work on Avowed, our first collaboration with Obsidian Entertainment.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https://lnkd.in/dRGfDE4z
 https://lnkd.in/d_tNjZkX
 #Avowed #ObsidianEntertainment #GameArt #CharacterArt #HairArt #RPG #TheGameAwards2025 #LittleRedZombies #LRZ</t>
  </si>
  <si>
    <t>2026-03-30T09:53:58.597Z</t>
  </si>
  <si>
    <t>Avowed - Hair Contribution</t>
  </si>
  <si>
    <t>https://www.linkedin.com/posts/littleredzombies_were-hiring-visual-designer-on-site-activity-7443307875554476032-xjAh?utm_source=combined_share_message&amp;utm_medium=member_desktop&amp;rcm=ACoAAAkSQb0Bsc94sZROmun7Rg4RHsXd8c7GfoA</t>
  </si>
  <si>
    <t>We’re Hiring | Visual Designer (On-site)
 We are looking for a Visual Designer who can create clear, high-quality visuals across our communication and internal needs.
 This role requires both execution and ownership. You will take briefs and turn them into well-composed, consistent outputs.
  What You’ll Do
 - Design visuals for presentations, social media, and internal communication
 - Translate ideas and briefs into clean, readable visual formats
 - Maintain consistency across layouts, templates, and brand usage
  Tools &amp; Skills (Expected)
 - Strong familiarity with image editing and compositing software
 - Good understanding of 3D tools for viewing, minor edits, or renders
  Bonus (Nice to Have)
 - Video editing
 - Basic motion graphics
 - Illustration or freehand skills
 - Interest in the gaming industry
 How to Apply
 Share your portfolio along with a few of your best works at:
  careers@littleredzombies.com</t>
  </si>
  <si>
    <t>2026-03-27T14:48:07.505Z</t>
  </si>
  <si>
    <t>twitterUrl</t>
  </si>
  <si>
    <t>createdAt</t>
  </si>
  <si>
    <t>lang</t>
  </si>
  <si>
    <t>likeCount</t>
  </si>
  <si>
    <t>replyCount</t>
  </si>
  <si>
    <t>retweetCount</t>
  </si>
  <si>
    <t>quoteCount</t>
  </si>
  <si>
    <t>viewCount</t>
  </si>
  <si>
    <t>bookmarkCount</t>
  </si>
  <si>
    <t>isPinned</t>
  </si>
  <si>
    <t>retweet+quote</t>
  </si>
  <si>
    <t>https://x.com/LittleRedZombie/status/1752692581329441185</t>
  </si>
  <si>
    <t>https://twitter.com/LittleRedZombie/status/1752692581329441185</t>
  </si>
  <si>
    <t>Wed Jan 31 13:57:29 +0000 2024</t>
  </si>
  <si>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</si>
  <si>
    <t>en</t>
  </si>
  <si>
    <t>https://x.com/LittleRedZombie/status/1739211500571726257</t>
  </si>
  <si>
    <t>https://twitter.com/LittleRedZombie/status/1739211500571726257</t>
  </si>
  <si>
    <t>Mon Dec 25 09:08:29 +0000 2023</t>
  </si>
  <si>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</si>
  <si>
    <t>https://x.com/LittleRedZombie/status/1738767116055007429</t>
  </si>
  <si>
    <t>https://twitter.com/LittleRedZombie/status/1738767116055007429</t>
  </si>
  <si>
    <t>Sun Dec 24 03:42:39 +0000 2023</t>
  </si>
  <si>
    <t>Finally, we head to Remedy Entertainment, in Finland!
 Our contribution to Alan Wake 2 remains our best work yet across every aspect of what we enjoy!
 #LittleRedZombies #RemedyEntertainment https://t.co/iWY7MdwkpP</t>
  </si>
  <si>
    <t>LittleRedZombies, RemedyEntertainment</t>
  </si>
  <si>
    <t>https://x.com/LittleRedZombie/status/1738473331702268151</t>
  </si>
  <si>
    <t>https://twitter.com/LittleRedZombie/status/1738473331702268151</t>
  </si>
  <si>
    <t>Sat Dec 23 08:15:16 +0000 2023</t>
  </si>
  <si>
    <t>Europe studio visits contd.... 
 Next stop, another team based in Malmö, IO Interactive! 
 As fans who grew up playing Hitman, it was an honor to get to step into IOI.
 #littleredzombies #IOI https://t.co/qW0ViALHb2</t>
  </si>
  <si>
    <t>littleredzombies, IOI</t>
  </si>
  <si>
    <t>https://x.com/LittleRedZombie/status/1738208448838545565</t>
  </si>
  <si>
    <t>https://twitter.com/LittleRedZombie/status/1738208448838545565</t>
  </si>
  <si>
    <t>Fri Dec 22 14:42:43 +0000 2023</t>
  </si>
  <si>
    <t>We are excited to share that we had the privilege to meet some of the teams we've been working together with! 
 First up, Sharkmob Malmö! https://t.co/SWoeJNcNva</t>
  </si>
  <si>
    <t>https://x.com/LittleRedZombie/status/1735164879970209900</t>
  </si>
  <si>
    <t>https://twitter.com/LittleRedZombie/status/1735164879970209900</t>
  </si>
  <si>
    <t>Thu Dec 14 05:08:39 +0000 2023</t>
  </si>
  <si>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</si>
  <si>
    <t>Exoborne, Sharkmob, LevelInfinite</t>
  </si>
  <si>
    <t>https://x.com/LittleRedZombie/status/1730586803181130164</t>
  </si>
  <si>
    <t>https://twitter.com/LittleRedZombie/status/1730586803181130164</t>
  </si>
  <si>
    <t>Fri Dec 01 13:57:01 +0000 2023</t>
  </si>
  <si>
    <t>As artists who grew up watching Star Wars, we've had the great opportunity to work with Respawn Entertainment on Star Wars Jedi: Survivor! Here is our first Rigging Reel that shows the different aspects of Cal Kestis that we worked on. 
 #LRZ #StarWars https://t.co/x6fxUYM1Tu</t>
  </si>
  <si>
    <t>LRZ, StarWars</t>
  </si>
  <si>
    <t>https://x.com/LittleRedZombie/status/1730583268758851828</t>
  </si>
  <si>
    <t>https://twitter.com/LittleRedZombie/status/1730583268758851828</t>
  </si>
  <si>
    <t>Fri Dec 01 13:42:58 +0000 2023</t>
  </si>
  <si>
    <t>As artists who grew up watching Star Wars, we've had the great opportunity to work with Respawn Entertainment on Star Wars Jedi: Survivor! Here are the several outfits that we worked on that can be seen throughout the game. 
 #LittleRedZombies #StarWars https://t.co/BMggMRTq4z</t>
  </si>
  <si>
    <t>LittleRedZombies, StarWars</t>
  </si>
  <si>
    <t>https://x.com/LittleRedZombie/status/1730150536781897761</t>
  </si>
  <si>
    <t>https://twitter.com/LittleRedZombie/status/1730150536781897761</t>
  </si>
  <si>
    <t>Thu Nov 30 09:03:27 +0000 2023</t>
  </si>
  <si>
    <t>As artists who grew up watching Star Wars, we've had the great opportunity to work together with Respawn Entertainment on Star Wars Jedi: Survivor! We worked on several character hairstyles and outfits for various NPCs seen throughout the game. https://t.co/DHDP2hO2pg</t>
  </si>
  <si>
    <t>project title</t>
  </si>
  <si>
    <t>game</t>
  </si>
  <si>
    <t>client</t>
  </si>
  <si>
    <t>date published</t>
  </si>
  <si>
    <t>views</t>
  </si>
  <si>
    <t>likes</t>
  </si>
  <si>
    <t>comments</t>
  </si>
  <si>
    <t>content type</t>
  </si>
  <si>
    <t>number of images</t>
  </si>
  <si>
    <t>Half-Life: Gordon (UE4)</t>
  </si>
  <si>
    <t>Half-Life</t>
  </si>
  <si>
    <t>Fan Art</t>
  </si>
  <si>
    <t>21/03/2020</t>
  </si>
  <si>
    <t>full character</t>
  </si>
  <si>
    <t>https://www.artstation.com/artwork/gJrOym</t>
  </si>
  <si>
    <t>Split Fiction - Zoe, Ella &amp; the Fairy's Hair</t>
  </si>
  <si>
    <t>Split Fiction</t>
  </si>
  <si>
    <t>Hazelight</t>
  </si>
  <si>
    <t>31/07/2025</t>
  </si>
  <si>
    <t>character hair</t>
  </si>
  <si>
    <t>https://www.artstation.com/artwork/lGYKya</t>
  </si>
  <si>
    <t>Split Fiction - Mio's Hair</t>
  </si>
  <si>
    <t>https://www.artstation.com/artwork/EzdQ2n</t>
  </si>
  <si>
    <t>Split Fiction - Rader's Hair</t>
  </si>
  <si>
    <t>https://www.artstation.com/artwork/3Egkmo</t>
  </si>
  <si>
    <t>https://www.artstation.com/artwork/GvPYyW</t>
  </si>
  <si>
    <t>https://www.artstation.com/artwork/y4PenK</t>
  </si>
  <si>
    <t>animal</t>
  </si>
  <si>
    <t>https://www.artstation.com/artwork/OvKAWe</t>
  </si>
  <si>
    <t>animal hair</t>
  </si>
  <si>
    <t>https://www.artstation.com/artwork/qJXaDL</t>
  </si>
  <si>
    <t>https://www.artstation.com/artwork/8Bg94m</t>
  </si>
  <si>
    <t>https://www.artstation.com/artwork/Jr5Amm</t>
  </si>
  <si>
    <t>Call of Duty: Black Ops 6 - Multiplayer Operators Hair</t>
  </si>
  <si>
    <t>Call of Duty: Black Ops 6</t>
  </si>
  <si>
    <t>Treyarch</t>
  </si>
  <si>
    <t>17/4/2025</t>
  </si>
  <si>
    <t>https://www.artstation.com/artwork/mAgBzE</t>
  </si>
  <si>
    <t>Call of Duty: Black Ops 6 - Story Characters Hair</t>
  </si>
  <si>
    <t>https://www.artstation.com/artwork/OvJnyg</t>
  </si>
  <si>
    <t>https://www.artstation.com/artwork/8BzKWn</t>
  </si>
  <si>
    <t>15/4/2025</t>
  </si>
  <si>
    <t>https://www.artstation.com/artwork/RKJ1YA</t>
  </si>
  <si>
    <t>Call of Duty: Modern Warfare III - Hair</t>
  </si>
  <si>
    <t>Call of Duty: Modern Warfare III</t>
  </si>
  <si>
    <t>Sledgehammer Games</t>
  </si>
  <si>
    <t>https://www.artstation.com/artwork/K3EwJx</t>
  </si>
  <si>
    <t>Senua's Saga: Hellblade II - Hair</t>
  </si>
  <si>
    <t>Senua's Saga: Hellblade II</t>
  </si>
  <si>
    <t>Ninja Theory</t>
  </si>
  <si>
    <t>https://www.artstation.com/artwork/rlWnde</t>
  </si>
  <si>
    <t>Alan Wake II: The Lake House - FBC Hazmat Suit Outfit</t>
  </si>
  <si>
    <t>Alan Wake II: The Lake House</t>
  </si>
  <si>
    <t>Remedy Entertainment</t>
  </si>
  <si>
    <t>24/7/2025</t>
  </si>
  <si>
    <t>https://www.artstation.com/artwork/3Egow2</t>
  </si>
  <si>
    <t>Alan Wake II - Alan Wake/ Scratch Outfit</t>
  </si>
  <si>
    <t>Alan Wake II</t>
  </si>
  <si>
    <t>https://www.artstation.com/artwork/WBAQ8y</t>
  </si>
  <si>
    <t>Alan Wake II - Saga Anderson Hair</t>
  </si>
  <si>
    <t>https://www.artstation.com/artwork/YBAQ6P</t>
  </si>
  <si>
    <t>Alan Wake II - Fauna</t>
  </si>
  <si>
    <t>https://www.artstation.com/artwork/WBAQk2</t>
  </si>
  <si>
    <t>Avowed</t>
  </si>
  <si>
    <t>Obsidian</t>
  </si>
  <si>
    <t>https://www.artstation.com/artwork/gREQl8</t>
  </si>
  <si>
    <t>https://www.artstation.com/artwork/WXR1WE</t>
  </si>
  <si>
    <t>Avowed - Hair</t>
  </si>
  <si>
    <t>30/3/2026</t>
  </si>
  <si>
    <t>https://www.artstation.com/artwork/bg9Nor</t>
  </si>
  <si>
    <t>https://www.artstation.com/artwork/OvL4ee</t>
  </si>
  <si>
    <t>The Outer Worlds 2</t>
  </si>
  <si>
    <t>https://www.artstation.com/artwork/oJNekO</t>
  </si>
  <si>
    <t>Hunt: Showdown - The Prescient</t>
  </si>
  <si>
    <t>Hunt: Showdown</t>
  </si>
  <si>
    <t>Crytek</t>
  </si>
  <si>
    <t>https://www.artstation.com/artwork/98OJ6o</t>
  </si>
  <si>
    <t>Hunt: Showdown - Captain Lafitte</t>
  </si>
  <si>
    <t>Hunt: Showdown - The Scarecrow</t>
  </si>
  <si>
    <t>https://www.artstation.com/artwork/XJxKgn</t>
  </si>
  <si>
    <t>Hunt: Showdown - Concubine</t>
  </si>
  <si>
    <t>https://www.artstation.com/artwork/eRxvdX</t>
  </si>
  <si>
    <t>Hunt: Showdown - Grim Reaper</t>
  </si>
  <si>
    <t>https://www.artstation.com/artwork/nJWxQX</t>
  </si>
  <si>
    <t>Hunt: Showdown - The Miko</t>
  </si>
  <si>
    <t>18/3/2025</t>
  </si>
  <si>
    <t>https://www.artstation.com/artwork/nJ1nl6</t>
  </si>
  <si>
    <t>Hunt: Showdown - Iron Bark</t>
  </si>
  <si>
    <t>17/3/2025</t>
  </si>
  <si>
    <t>https://www.artstation.com/artwork/lGLoGG</t>
  </si>
  <si>
    <t>Hunt: Showdown - Perchta Dusk</t>
  </si>
  <si>
    <t>https://www.artstation.com/artwork/EzOxQe</t>
  </si>
  <si>
    <t>Hunt: Showdown - Perchta Dawn</t>
  </si>
  <si>
    <t>https://www.artstation.com/artwork/P6NPYB</t>
  </si>
  <si>
    <t>Hunt: Showdown - Bone Mason</t>
  </si>
  <si>
    <t>13/3/2025</t>
  </si>
  <si>
    <t>https://www.artstation.com/artwork/x325LO</t>
  </si>
  <si>
    <t>Suicide Squad: Kill the Justice League - Harley Quinn</t>
  </si>
  <si>
    <t>Suicide Squad: Kill the Justice League</t>
  </si>
  <si>
    <t>Rocksteady Studios</t>
  </si>
  <si>
    <t>28/3/2025</t>
  </si>
  <si>
    <t>https://www.artstation.com/artwork/K3EwR9</t>
  </si>
  <si>
    <t>Suicide Squad: Kill the Justice League - King Shark</t>
  </si>
  <si>
    <t>29/3/2025</t>
  </si>
  <si>
    <t>https://www.artstation.com/artwork/XJGv1w</t>
  </si>
  <si>
    <t>Suicide Squad: Kill the Justice League - Captain Boomerang</t>
  </si>
  <si>
    <t>https://www.artstation.com/artwork/zxXeDQ</t>
  </si>
  <si>
    <t>Suicide Squad: Kill the Justice League - Deadshot</t>
  </si>
  <si>
    <t>https://www.artstation.com/artwork/V2Gvyb</t>
  </si>
  <si>
    <t>Suicide Squad: Kill the Justice League - NPCs</t>
  </si>
  <si>
    <t>https://www.artstation.com/artwork/YGrvvP</t>
  </si>
  <si>
    <t>Suicide Squad: Kill the Justice League - Mrs. Freeze</t>
  </si>
  <si>
    <t>https://www.artstation.com/artwork/bgrvBm</t>
  </si>
  <si>
    <t>Suicide Squad: Kill the Justice League - Joker</t>
  </si>
  <si>
    <t>https://www.artstation.com/artwork/AZvLoV</t>
  </si>
  <si>
    <t>XDefiant - Libertad</t>
  </si>
  <si>
    <t>XDefiant</t>
  </si>
  <si>
    <t>Ubisoft</t>
  </si>
  <si>
    <t>https://www.artstation.com/artwork/4NyQWl</t>
  </si>
  <si>
    <t>XDefiant - Dedsec</t>
  </si>
  <si>
    <t>https://www.artstation.com/artwork/dy4wk3</t>
  </si>
  <si>
    <t>XDefiant - Cleaners</t>
  </si>
  <si>
    <t>https://www.artstation.com/artwork/4NyQG1</t>
  </si>
  <si>
    <t>XDefiant - Phantom</t>
  </si>
  <si>
    <t>https://www.artstation.com/artwork/rl08wO</t>
  </si>
  <si>
    <t>XDefiant - GS Kommando</t>
  </si>
  <si>
    <t>https://www.artstation.com/artwork/WXGoED</t>
  </si>
  <si>
    <t>XDefiant - Echelon</t>
  </si>
  <si>
    <t>https://www.artstation.com/artwork/5W19zE</t>
  </si>
  <si>
    <t>Pax Dei</t>
  </si>
  <si>
    <t>Mainframe Industries</t>
  </si>
  <si>
    <t>21/4/2025</t>
  </si>
  <si>
    <t>character assets</t>
  </si>
  <si>
    <t>https://www.artstation.com/artwork/4NLNmW</t>
  </si>
  <si>
    <t>https://www.artstation.com/artwork/bg4gGr</t>
  </si>
  <si>
    <t>https://www.artstation.com/artwork/0lqlyw</t>
  </si>
  <si>
    <t>Diablo II: Resurrected - BAT DEMON</t>
  </si>
  <si>
    <t>Diablo II: Resurrected</t>
  </si>
  <si>
    <t>Blizzard Entertainment</t>
  </si>
  <si>
    <t>25/9/2021</t>
  </si>
  <si>
    <t>https://www.artstation.com/artwork/Xnm1XL</t>
  </si>
  <si>
    <t>Diablo II: Resurrected - VULTURE DEMON</t>
  </si>
  <si>
    <t>30/9/2021</t>
  </si>
  <si>
    <t>https://www.artstation.com/artwork/aY2VN2</t>
  </si>
  <si>
    <t>Diablo II: Resurrected - HELL BOVINE</t>
  </si>
  <si>
    <t>28/9/2021</t>
  </si>
  <si>
    <t>https://www.artstation.com/artwork/9mA5dy</t>
  </si>
  <si>
    <t>Diablo II: Resurrected - Druid's Animals</t>
  </si>
  <si>
    <t>20/12/2021</t>
  </si>
  <si>
    <t>https://www.artstation.com/artwork/8wbkBm</t>
  </si>
  <si>
    <t>Hunt: Showdown - The Penitent</t>
  </si>
  <si>
    <t>https://www.artstation.com/artwork/qJb1PP</t>
  </si>
  <si>
    <t>Hunt: Showdown - Biatata</t>
  </si>
  <si>
    <t>https://www.artstation.com/artwork/DLO4WG</t>
  </si>
  <si>
    <t>Hunt: Showdown - Coal Bearer</t>
  </si>
  <si>
    <t>https://www.artstation.com/artwork/mAW4Z9</t>
  </si>
  <si>
    <t>Hunt: Showdown - The Statesman</t>
  </si>
  <si>
    <t>https://www.artstation.com/artwork/0lLJ54</t>
  </si>
  <si>
    <t>Hunt: Showdown - The Waldmann</t>
  </si>
  <si>
    <t>https://www.artstation.com/artwork/3E8J9A</t>
  </si>
  <si>
    <t>Hunt: Showdown - Union Suit : Red Drawers</t>
  </si>
  <si>
    <t>https://www.artstation.com/artwork/XJxKJ3</t>
  </si>
  <si>
    <t>source</t>
  </si>
  <si>
    <t>date</t>
  </si>
  <si>
    <t>normalized_date</t>
  </si>
  <si>
    <t>month_year</t>
  </si>
  <si>
    <t>shares_retweets</t>
  </si>
  <si>
    <t>engagement_rate</t>
  </si>
  <si>
    <t>28/09/2021</t>
  </si>
  <si>
    <t>Platform Overview</t>
  </si>
  <si>
    <t xml:space="preserve">Helper for "Likes and Views Over Time" </t>
  </si>
  <si>
    <t>Helper Table for "Total Engagement by Platform"</t>
  </si>
  <si>
    <t>platform</t>
  </si>
  <si>
    <t>total_posts</t>
  </si>
  <si>
    <t>avg_likes</t>
  </si>
  <si>
    <t>avg_comments</t>
  </si>
  <si>
    <t>avg_shares</t>
  </si>
  <si>
    <t>avg_views</t>
  </si>
  <si>
    <t>avg_engagement_rate</t>
  </si>
  <si>
    <t>total_likes</t>
  </si>
  <si>
    <t>total_comments</t>
  </si>
  <si>
    <t>total_shares</t>
  </si>
  <si>
    <t>Posts by Month</t>
  </si>
  <si>
    <t>Helper for "Top Posts filtered by platform"</t>
  </si>
  <si>
    <t>rank</t>
  </si>
  <si>
    <t>2020-03</t>
  </si>
  <si>
    <t>2021-09</t>
  </si>
  <si>
    <t>2021-11</t>
  </si>
  <si>
    <t>2021-12</t>
  </si>
  <si>
    <t>2022-02</t>
  </si>
  <si>
    <t>2022-03</t>
  </si>
  <si>
    <t>2022-05</t>
  </si>
  <si>
    <t>2022-09</t>
  </si>
  <si>
    <t>2022-10</t>
  </si>
  <si>
    <t>2022-12</t>
  </si>
  <si>
    <t>2023-04</t>
  </si>
  <si>
    <t>2023-05</t>
  </si>
  <si>
    <t>2023-09</t>
  </si>
  <si>
    <t>2023-10</t>
  </si>
  <si>
    <t>2023-11</t>
  </si>
  <si>
    <t>2023-12</t>
  </si>
  <si>
    <t>2024-01</t>
  </si>
  <si>
    <t>2024-02</t>
  </si>
  <si>
    <t>2024-05</t>
  </si>
  <si>
    <t>2024-06</t>
  </si>
  <si>
    <t>2024-08</t>
  </si>
  <si>
    <t>2024-10</t>
  </si>
  <si>
    <t>2024-11</t>
  </si>
  <si>
    <t>2024-12</t>
  </si>
  <si>
    <t>2025-02</t>
  </si>
  <si>
    <t>2025-03</t>
  </si>
  <si>
    <t>2025-04</t>
  </si>
  <si>
    <t>2025-06</t>
  </si>
  <si>
    <t>2025-07</t>
  </si>
  <si>
    <t>2025-08</t>
  </si>
  <si>
    <t>2025-09</t>
  </si>
  <si>
    <t>2025-10</t>
  </si>
  <si>
    <t>2025-11</t>
  </si>
  <si>
    <t>2025-12</t>
  </si>
  <si>
    <t>2026-01</t>
  </si>
  <si>
    <t>2026-02</t>
  </si>
  <si>
    <t>2026-03</t>
  </si>
  <si>
    <t>2026-04</t>
  </si>
  <si>
    <t>2026-05</t>
  </si>
  <si>
    <t>Avg Engagement Rate by Month</t>
  </si>
  <si>
    <t>Top Posts</t>
  </si>
  <si>
    <t>Little Red Zombies - Social Media Dashboard</t>
  </si>
  <si>
    <t>Select Platform</t>
  </si>
  <si>
    <t>Total Posts</t>
  </si>
  <si>
    <t>Avg Engagement Rate</t>
  </si>
  <si>
    <t>Best Performing Platform</t>
  </si>
  <si>
    <t>Most Active Month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</si>
</sst>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2">
    <font>
      <sz val="10.0"/>
      <color rgb="FF000000"/>
      <name val="Arial"/>
      <scheme val="minor"/>
    </font>
    <font>
      <i/>
      <sz val="11.0"/>
      <color theme="1"/>
      <name val="Arial"/>
      <scheme val="minor"/>
    </font>
    <font>
      <i/>
      <color theme="1"/>
      <name val="Arial"/>
      <scheme val="minor"/>
    </font>
    <font>
      <color theme="1"/>
      <name val="Arial"/>
      <scheme val="minor"/>
    </font>
    <font>
      <b/>
      <color theme="1"/>
      <name val="Arial"/>
      <scheme val="minor"/>
    </font>
    <font>
      <b/>
      <sz val="11.0"/>
      <color theme="1"/>
      <name val="Calibri"/>
    </font>
    <font>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b/>
      <sz val="11.0"/>
      <color rgb="FFFFFFFF"/>
      <name val="Calibri"/>
    </font>
    <font>
      <b/>
      <color rgb="FFFFFFFF"/>
      <name val="Arial"/>
      <scheme val="minor"/>
    </font>
    <font>
      <u/>
      <sz val="11.0"/>
      <color rgb="FF000000"/>
      <name val="Calibri"/>
    </font>
    <font>
      <u/>
      <sz val="11.0"/>
      <color rgb="FF000000"/>
      <name val="Calibri"/>
    </font>
    <font>
      <u/>
      <sz val="11.0"/>
      <color rgb="FF000000"/>
      <name val="Calibri"/>
    </font>
    <font>
      <u/>
      <sz val="11.0"/>
      <color rgb="FF000000"/>
      <name val="Calibri"/>
    </font>
    <font/>
    <font>
      <u/>
      <color rgb="FF0000FF"/>
    </font>
    <font>
      <u/>
      <color rgb="FF0000FF"/>
    </font>
    <font>
      <u/>
      <color rgb="FF0000FF"/>
    </font>
    <font>
      <color rgb="FF000000"/>
      <name val="Var(--font-mono)"/>
    </font>
    <font>
      <u/>
      <color rgb="FF0000FF"/>
    </font>
    <font>
      <u/>
      <color rgb="FF0000FF"/>
    </font>
    <font>
      <u/>
      <color rgb="FF0000FF"/>
    </font>
    <font>
      <b/>
      <sz val="15.0"/>
      <color theme="1"/>
      <name val="Arial"/>
      <scheme val="minor"/>
    </font>
    <font>
      <sz val="13.0"/>
      <color theme="1"/>
      <name val="Arial"/>
      <scheme val="minor"/>
    </font>
    <font>
      <u/>
      <color rgb="FF0000FF"/>
    </font>
    <font>
      <u/>
      <color rgb="FF0000FF"/>
    </font>
    <font>
      <u/>
      <color rgb="FF0000FF"/>
    </font>
  </fonts>
  <fills count="20">
    <fill>
      <patternFill patternType="none"/>
    </fill>
    <fill>
      <patternFill patternType="lightGray"/>
    </fill>
    <fill>
      <patternFill patternType="solid">
        <fgColor rgb="FFE0F7FA"/>
        <bgColor rgb="FFE0F7FA"/>
      </patternFill>
    </fill>
    <fill>
      <patternFill patternType="solid">
        <fgColor rgb="FF87D7BC"/>
        <bgColor rgb="FF87D7BC"/>
      </patternFill>
    </fill>
    <fill>
      <patternFill patternType="solid">
        <fgColor rgb="FFFFFFFF"/>
        <bgColor rgb="FFFFFFFF"/>
      </patternFill>
    </fill>
    <fill>
      <patternFill patternType="solid">
        <fgColor rgb="FFCCCCCC"/>
        <bgColor rgb="FFCCCCCC"/>
      </patternFill>
    </fill>
    <fill>
      <patternFill patternType="solid">
        <fgColor rgb="FF6D9EEB"/>
        <bgColor rgb="FF6D9EEB"/>
      </patternFill>
    </fill>
    <fill>
      <patternFill patternType="solid">
        <fgColor rgb="FFFFE599"/>
        <bgColor rgb="FFFFE599"/>
      </patternFill>
    </fill>
    <fill>
      <patternFill patternType="solid">
        <fgColor rgb="FFEA9999"/>
        <bgColor rgb="FFEA9999"/>
      </patternFill>
    </fill>
    <fill>
      <patternFill patternType="solid">
        <fgColor rgb="FFA4C2F4"/>
        <bgColor rgb="FFA4C2F4"/>
      </patternFill>
    </fill>
    <fill>
      <patternFill patternType="solid">
        <fgColor rgb="FFFFF2CC"/>
        <bgColor rgb="FFFFF2CC"/>
      </patternFill>
    </fill>
    <fill>
      <patternFill patternType="solid">
        <fgColor rgb="FFF4CCCC"/>
        <bgColor rgb="FFF4CCCC"/>
      </patternFill>
    </fill>
    <fill>
      <patternFill patternType="solid">
        <fgColor rgb="FF93C47D"/>
        <bgColor rgb="FF93C47D"/>
      </patternFill>
    </fill>
    <fill>
      <patternFill patternType="solid">
        <fgColor rgb="FFB4A7D6"/>
        <bgColor rgb="FFB4A7D6"/>
      </patternFill>
    </fill>
    <fill>
      <patternFill patternType="solid">
        <fgColor rgb="FFB6D7A8"/>
        <bgColor rgb="FFB6D7A8"/>
      </patternFill>
    </fill>
    <fill>
      <patternFill patternType="solid">
        <fgColor rgb="FFD9D2E9"/>
        <bgColor rgb="FFD9D2E9"/>
      </patternFill>
    </fill>
    <fill>
      <patternFill patternType="solid">
        <fgColor rgb="FFC27BA0"/>
        <bgColor rgb="FFC27BA0"/>
      </patternFill>
    </fill>
    <fill>
      <patternFill patternType="solid">
        <fgColor rgb="FFD5A6BD"/>
        <bgColor rgb="FFD5A6BD"/>
      </patternFill>
    </fill>
    <fill>
      <patternFill patternType="solid">
        <fgColor rgb="FFF6B26B"/>
        <bgColor rgb="FFF6B26B"/>
      </patternFill>
    </fill>
    <fill>
      <patternFill patternType="solid">
        <fgColor rgb="FFF9CB9C"/>
        <bgColor rgb="FFF9CB9C"/>
      </patternFill>
    </fill>
  </fills>
  <borders count="2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medium">
        <color rgb="FF000000"/>
      </left>
      <top style="medium">
        <color rgb="FF000000"/>
      </top>
      <bottom style="medium">
        <color rgb="FF87D7BC"/>
      </bottom>
    </border>
    <border>
      <right style="medium">
        <color rgb="FF000000"/>
      </right>
      <top style="medium">
        <color rgb="FF000000"/>
      </top>
      <bottom style="medium">
        <color rgb="FF87D7BC"/>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horizontal="left" readingOrder="0" shrinkToFit="0" wrapText="1"/>
    </xf>
    <xf borderId="0" fillId="0" fontId="3" numFmtId="0" xfId="0" applyAlignment="1" applyFont="1">
      <alignment shrinkToFit="0" wrapText="1"/>
    </xf>
    <xf borderId="0" fillId="0" fontId="4" numFmtId="0" xfId="0" applyAlignment="1" applyFont="1">
      <alignment horizontal="center" readingOrder="0" shrinkToFit="0" wrapText="1"/>
    </xf>
    <xf borderId="1" fillId="3" fontId="4" numFmtId="0" xfId="0" applyAlignment="1" applyBorder="1" applyFill="1" applyFont="1">
      <alignment horizontal="center" readingOrder="0" shrinkToFit="0" wrapText="1"/>
    </xf>
    <xf borderId="2" fillId="0" fontId="3"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0" fillId="0" fontId="3" numFmtId="0" xfId="0" applyAlignment="1" applyFont="1">
      <alignment readingOrder="0" shrinkToFit="0" wrapText="1"/>
    </xf>
    <xf borderId="2" fillId="0" fontId="3" numFmtId="0" xfId="0" applyAlignment="1" applyBorder="1" applyFont="1">
      <alignment readingOrder="0"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3" fillId="0" fontId="3" numFmtId="0" xfId="0" applyAlignment="1" applyBorder="1" applyFont="1">
      <alignment readingOrder="0" shrinkToFit="0" vertical="center" wrapText="1"/>
    </xf>
    <xf borderId="4" fillId="0" fontId="3" numFmtId="0" xfId="0" applyAlignment="1" applyBorder="1" applyFont="1">
      <alignment horizontal="center" readingOrder="0" vertical="center"/>
    </xf>
    <xf borderId="4" fillId="0" fontId="3" numFmtId="0" xfId="0" applyAlignment="1" applyBorder="1" applyFont="1">
      <alignment horizontal="left" readingOrder="0" shrinkToFit="0" vertical="center" wrapText="1"/>
    </xf>
    <xf borderId="0" fillId="0" fontId="3" numFmtId="0" xfId="0" applyAlignment="1" applyFont="1">
      <alignment readingOrder="0"/>
    </xf>
    <xf borderId="3" fillId="0" fontId="3" numFmtId="0" xfId="0" applyAlignment="1" applyBorder="1" applyFont="1">
      <alignmen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4" fillId="0" fontId="3" numFmtId="0" xfId="0" applyAlignment="1" applyBorder="1" applyFont="1">
      <alignment readingOrder="0" vertical="center"/>
    </xf>
    <xf borderId="4" fillId="0" fontId="3" numFmtId="0" xfId="0" applyAlignment="1" applyBorder="1" applyFont="1">
      <alignment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1" fillId="0" fontId="5" numFmtId="0" xfId="0" applyAlignment="1" applyBorder="1" applyFont="1">
      <alignment horizontal="center" readingOrder="0" shrinkToFit="0" vertical="top" wrapText="0"/>
    </xf>
    <xf borderId="0" fillId="0" fontId="3" numFmtId="0" xfId="0" applyAlignment="1" applyFont="1">
      <alignment shrinkToFit="0" wrapText="0"/>
    </xf>
    <xf borderId="2" fillId="0" fontId="6" numFmtId="0" xfId="0" applyAlignment="1" applyBorder="1" applyFont="1">
      <alignment readingOrder="0" shrinkToFit="0" vertical="bottom" wrapText="0"/>
    </xf>
    <xf borderId="5" fillId="0" fontId="7" numFmtId="0" xfId="0" applyAlignment="1" applyBorder="1" applyFont="1">
      <alignment readingOrder="0" shrinkToFit="0" vertical="bottom" wrapText="0"/>
    </xf>
    <xf borderId="5" fillId="0" fontId="6" numFmtId="0" xfId="0" applyAlignment="1" applyBorder="1" applyFont="1">
      <alignment readingOrder="0" shrinkToFit="0" vertical="bottom" wrapText="0"/>
    </xf>
    <xf borderId="2" fillId="0" fontId="6" numFmtId="0" xfId="0" applyAlignment="1" applyBorder="1" applyFont="1">
      <alignment horizontal="right" readingOrder="0" shrinkToFit="0" vertical="bottom" wrapText="0"/>
    </xf>
    <xf borderId="5" fillId="0" fontId="6" numFmtId="0" xfId="0" applyAlignment="1" applyBorder="1" applyFont="1">
      <alignment horizontal="right" readingOrder="0" shrinkToFit="0" vertical="bottom" wrapText="0"/>
    </xf>
    <xf borderId="2" fillId="0" fontId="6" numFmtId="0" xfId="0" applyAlignment="1" applyBorder="1" applyFont="1">
      <alignment readingOrder="0" shrinkToFit="0" vertical="bottom" wrapText="1"/>
    </xf>
    <xf borderId="6" fillId="0" fontId="6" numFmtId="0" xfId="0" applyAlignment="1" applyBorder="1" applyFont="1">
      <alignment readingOrder="0" shrinkToFit="0" vertical="bottom" wrapText="1"/>
    </xf>
    <xf borderId="0" fillId="4" fontId="3" numFmtId="0" xfId="0" applyAlignment="1" applyFill="1" applyFont="1">
      <alignment shrinkToFit="0" wrapText="0"/>
    </xf>
    <xf borderId="3" fillId="0" fontId="6" numFmtId="0" xfId="0" applyAlignment="1" applyBorder="1" applyFont="1">
      <alignment readingOrder="0" shrinkToFit="0" vertical="bottom" wrapText="0"/>
    </xf>
    <xf borderId="0" fillId="0" fontId="8" numFmtId="0" xfId="0" applyAlignment="1" applyFont="1">
      <alignment readingOrder="0" shrinkToFit="0" vertical="bottom" wrapText="0"/>
    </xf>
    <xf borderId="0" fillId="0" fontId="6" numFmtId="0" xfId="0" applyAlignment="1" applyFont="1">
      <alignment readingOrder="0" shrinkToFit="0" vertical="bottom" wrapText="0"/>
    </xf>
    <xf borderId="3" fillId="0" fontId="6" numFmtId="0" xfId="0" applyAlignment="1" applyBorder="1" applyFont="1">
      <alignment horizontal="right" readingOrder="0" shrinkToFit="0" vertical="bottom" wrapText="0"/>
    </xf>
    <xf borderId="0" fillId="0" fontId="6" numFmtId="0" xfId="0" applyAlignment="1" applyFont="1">
      <alignment horizontal="right" readingOrder="0" shrinkToFit="0" vertical="bottom" wrapText="0"/>
    </xf>
    <xf borderId="3" fillId="0" fontId="6" numFmtId="0" xfId="0" applyAlignment="1" applyBorder="1" applyFont="1">
      <alignment readingOrder="0" shrinkToFit="0" vertical="bottom" wrapText="1"/>
    </xf>
    <xf borderId="7" fillId="0" fontId="6" numFmtId="0" xfId="0" applyAlignment="1" applyBorder="1" applyFont="1">
      <alignment readingOrder="0" shrinkToFit="0" vertical="bottom" wrapText="1"/>
    </xf>
    <xf borderId="7" fillId="0" fontId="6" numFmtId="0" xfId="0" applyAlignment="1" applyBorder="1" applyFont="1">
      <alignment readingOrder="0" shrinkToFit="0" vertical="bottom" wrapText="0"/>
    </xf>
    <xf borderId="4" fillId="0" fontId="6" numFmtId="0" xfId="0" applyAlignment="1" applyBorder="1" applyFont="1">
      <alignment readingOrder="0" shrinkToFit="0" vertical="bottom" wrapText="0"/>
    </xf>
    <xf borderId="8" fillId="0" fontId="9" numFmtId="0" xfId="0" applyAlignment="1" applyBorder="1" applyFont="1">
      <alignment readingOrder="0" shrinkToFit="0" vertical="bottom" wrapText="0"/>
    </xf>
    <xf borderId="8" fillId="0" fontId="6" numFmtId="0" xfId="0" applyAlignment="1" applyBorder="1" applyFont="1">
      <alignment readingOrder="0" shrinkToFit="0" vertical="bottom" wrapText="0"/>
    </xf>
    <xf borderId="4" fillId="0" fontId="6" numFmtId="0" xfId="0" applyAlignment="1" applyBorder="1" applyFont="1">
      <alignment horizontal="right" readingOrder="0" shrinkToFit="0" vertical="bottom" wrapText="0"/>
    </xf>
    <xf borderId="8" fillId="0" fontId="6" numFmtId="0" xfId="0" applyAlignment="1" applyBorder="1" applyFont="1">
      <alignment horizontal="right" readingOrder="0" shrinkToFit="0" vertical="bottom" wrapText="0"/>
    </xf>
    <xf borderId="9" fillId="0" fontId="6" numFmtId="0" xfId="0" applyAlignment="1" applyBorder="1" applyFont="1">
      <alignment readingOrder="0" shrinkToFit="0" vertical="bottom" wrapText="0"/>
    </xf>
    <xf borderId="2" fillId="0" fontId="10" numFmtId="0" xfId="0" applyAlignment="1" applyBorder="1" applyFont="1">
      <alignment readingOrder="0" shrinkToFit="0" vertical="bottom" wrapText="0"/>
    </xf>
    <xf borderId="3" fillId="0" fontId="11" numFmtId="0" xfId="0" applyAlignment="1" applyBorder="1" applyFont="1">
      <alignment readingOrder="0" shrinkToFit="0" vertical="bottom" wrapText="0"/>
    </xf>
    <xf borderId="4" fillId="0" fontId="12" numFmtId="0" xfId="0" applyAlignment="1" applyBorder="1" applyFont="1">
      <alignment readingOrder="0" shrinkToFit="0" vertical="bottom" wrapText="0"/>
    </xf>
    <xf borderId="10" fillId="0" fontId="13" numFmtId="0" xfId="0" applyAlignment="1" applyBorder="1" applyFont="1">
      <alignment horizontal="center" readingOrder="0" shrinkToFit="0" vertical="top" wrapText="0"/>
    </xf>
    <xf borderId="10" fillId="0" fontId="14" numFmtId="0" xfId="0" applyAlignment="1" applyBorder="1" applyFont="1">
      <alignment horizontal="center" readingOrder="0"/>
    </xf>
    <xf borderId="11" fillId="0" fontId="15" numFmtId="0" xfId="0" applyAlignment="1" applyBorder="1" applyFont="1">
      <alignment readingOrder="0" shrinkToFit="0" vertical="bottom" wrapText="0"/>
    </xf>
    <xf borderId="0" fillId="0" fontId="6" numFmtId="0" xfId="0" applyAlignment="1" applyFont="1">
      <alignment horizontal="center" readingOrder="0" shrinkToFit="0" vertical="bottom" wrapText="0"/>
    </xf>
    <xf borderId="3" fillId="0" fontId="6" numFmtId="0" xfId="0" applyAlignment="1" applyBorder="1" applyFont="1">
      <alignment shrinkToFit="0" vertical="bottom" wrapText="0"/>
    </xf>
    <xf borderId="7" fillId="0" fontId="3" numFmtId="0" xfId="0" applyBorder="1" applyFont="1"/>
    <xf borderId="12" fillId="0" fontId="16" numFmtId="0" xfId="0" applyAlignment="1" applyBorder="1" applyFont="1">
      <alignment readingOrder="0" shrinkToFit="0" vertical="bottom" wrapText="0"/>
    </xf>
    <xf borderId="8" fillId="0" fontId="6" numFmtId="0" xfId="0" applyAlignment="1" applyBorder="1" applyFont="1">
      <alignment horizontal="center" readingOrder="0" shrinkToFit="0" vertical="bottom" wrapText="0"/>
    </xf>
    <xf borderId="4" fillId="0" fontId="6" numFmtId="0" xfId="0" applyAlignment="1" applyBorder="1" applyFont="1">
      <alignment shrinkToFit="0" vertical="bottom" wrapText="0"/>
    </xf>
    <xf borderId="9" fillId="0" fontId="3" numFmtId="0" xfId="0" applyBorder="1" applyFont="1"/>
    <xf borderId="1" fillId="0" fontId="5" numFmtId="164" xfId="0" applyAlignment="1" applyBorder="1" applyFont="1" applyNumberFormat="1">
      <alignment horizontal="center" readingOrder="0" shrinkToFit="0" vertical="top" wrapText="0"/>
    </xf>
    <xf borderId="11" fillId="0" fontId="6" numFmtId="0" xfId="0" applyAlignment="1" applyBorder="1" applyFont="1">
      <alignment readingOrder="0" shrinkToFit="0" vertical="bottom" wrapText="0"/>
    </xf>
    <xf borderId="3" fillId="0" fontId="6" numFmtId="164" xfId="0" applyAlignment="1" applyBorder="1" applyFont="1" applyNumberFormat="1">
      <alignment horizontal="right" readingOrder="0" shrinkToFit="0" vertical="bottom" wrapText="0"/>
    </xf>
    <xf borderId="7" fillId="0" fontId="17" numFmtId="0" xfId="0" applyAlignment="1" applyBorder="1" applyFont="1">
      <alignment readingOrder="0" shrinkToFit="0" vertical="bottom" wrapText="0"/>
    </xf>
    <xf borderId="12" fillId="0" fontId="6" numFmtId="0" xfId="0" applyAlignment="1" applyBorder="1" applyFont="1">
      <alignment readingOrder="0" shrinkToFit="0" vertical="bottom" wrapText="0"/>
    </xf>
    <xf borderId="4" fillId="0" fontId="6" numFmtId="164" xfId="0" applyAlignment="1" applyBorder="1" applyFont="1" applyNumberFormat="1">
      <alignment horizontal="right" readingOrder="0" shrinkToFit="0" vertical="bottom" wrapText="0"/>
    </xf>
    <xf borderId="9" fillId="0" fontId="18" numFmtId="0" xfId="0" applyAlignment="1" applyBorder="1" applyFont="1">
      <alignment readingOrder="0" shrinkToFit="0" vertical="bottom" wrapText="0"/>
    </xf>
    <xf borderId="0" fillId="0" fontId="3" numFmtId="164" xfId="0" applyAlignment="1" applyFont="1" applyNumberFormat="1">
      <alignment horizontal="right" shrinkToFit="0" wrapText="0"/>
    </xf>
    <xf borderId="1" fillId="5" fontId="4" numFmtId="0" xfId="0" applyAlignment="1" applyBorder="1" applyFill="1" applyFont="1">
      <alignment horizontal="center" readingOrder="0"/>
    </xf>
    <xf borderId="1" fillId="5" fontId="4" numFmtId="164" xfId="0" applyAlignment="1" applyBorder="1" applyFont="1" applyNumberFormat="1">
      <alignment horizontal="center" readingOrder="0"/>
    </xf>
    <xf borderId="2" fillId="0" fontId="3" numFmtId="0" xfId="0" applyAlignment="1" applyBorder="1" applyFont="1">
      <alignment readingOrder="0"/>
    </xf>
    <xf borderId="3" fillId="0" fontId="6" numFmtId="164" xfId="0" applyAlignment="1" applyBorder="1" applyFont="1" applyNumberFormat="1">
      <alignment readingOrder="0" shrinkToFit="0" vertical="bottom" wrapText="0"/>
    </xf>
    <xf borderId="2" fillId="0" fontId="6" numFmtId="164" xfId="0" applyAlignment="1" applyBorder="1" applyFont="1" applyNumberFormat="1">
      <alignment readingOrder="0" shrinkToFit="0" vertical="bottom" wrapText="0"/>
    </xf>
    <xf borderId="0" fillId="0" fontId="6" numFmtId="164" xfId="0" applyAlignment="1" applyFont="1" applyNumberFormat="1">
      <alignment readingOrder="0" shrinkToFit="0" vertical="bottom" wrapText="0"/>
    </xf>
    <xf borderId="3" fillId="0" fontId="3" numFmtId="0" xfId="0" applyBorder="1" applyFont="1"/>
    <xf borderId="2" fillId="0" fontId="3" numFmtId="0" xfId="0" applyBorder="1" applyFont="1"/>
    <xf borderId="3" fillId="0" fontId="3" numFmtId="0" xfId="0" applyAlignment="1" applyBorder="1" applyFont="1">
      <alignment readingOrder="0"/>
    </xf>
    <xf borderId="0" fillId="0" fontId="6" numFmtId="0" xfId="0" applyAlignment="1" applyFont="1">
      <alignment horizontal="right" readingOrder="0" shrinkToFit="0" vertical="bottom" wrapText="0"/>
    </xf>
    <xf borderId="4" fillId="0" fontId="3" numFmtId="0" xfId="0" applyAlignment="1" applyBorder="1" applyFont="1">
      <alignment readingOrder="0"/>
    </xf>
    <xf borderId="8" fillId="0" fontId="6" numFmtId="164" xfId="0" applyAlignment="1" applyBorder="1" applyFont="1" applyNumberFormat="1">
      <alignment readingOrder="0" shrinkToFit="0" vertical="bottom" wrapText="0"/>
    </xf>
    <xf borderId="4" fillId="0" fontId="3" numFmtId="0" xfId="0" applyBorder="1" applyFont="1"/>
    <xf borderId="0" fillId="0" fontId="3" numFmtId="164" xfId="0" applyFont="1" applyNumberFormat="1"/>
    <xf borderId="1" fillId="6" fontId="4" numFmtId="0" xfId="0" applyAlignment="1" applyBorder="1" applyFill="1" applyFont="1">
      <alignment readingOrder="0"/>
    </xf>
    <xf borderId="0" fillId="0" fontId="4" numFmtId="0" xfId="0" applyAlignment="1" applyFont="1">
      <alignment horizontal="center" readingOrder="0"/>
    </xf>
    <xf borderId="0" fillId="0" fontId="4" numFmtId="0" xfId="0" applyAlignment="1" applyFont="1">
      <alignment horizontal="center"/>
    </xf>
    <xf borderId="13" fillId="7" fontId="4" numFmtId="0" xfId="0" applyAlignment="1" applyBorder="1" applyFill="1" applyFont="1">
      <alignment horizontal="left" readingOrder="0"/>
    </xf>
    <xf borderId="14" fillId="0" fontId="19" numFmtId="0" xfId="0" applyBorder="1" applyFont="1"/>
    <xf borderId="15" fillId="0" fontId="19" numFmtId="0" xfId="0" applyBorder="1" applyFont="1"/>
    <xf borderId="13" fillId="8" fontId="4" numFmtId="0" xfId="0" applyAlignment="1" applyBorder="1" applyFill="1" applyFont="1">
      <alignment horizontal="left" readingOrder="0"/>
    </xf>
    <xf borderId="1" fillId="9" fontId="4" numFmtId="0" xfId="0" applyAlignment="1" applyBorder="1" applyFill="1" applyFont="1">
      <alignment horizontal="center" readingOrder="0"/>
    </xf>
    <xf borderId="1" fillId="10" fontId="4" numFmtId="0" xfId="0" applyAlignment="1" applyBorder="1" applyFill="1" applyFont="1">
      <alignment horizontal="center" readingOrder="0"/>
    </xf>
    <xf borderId="1" fillId="11" fontId="4" numFmtId="0" xfId="0" applyAlignment="1" applyBorder="1" applyFill="1" applyFont="1">
      <alignment horizontal="center" readingOrder="0"/>
    </xf>
    <xf borderId="2" fillId="0" fontId="3" numFmtId="0" xfId="0" applyAlignment="1" applyBorder="1" applyFont="1">
      <alignment readingOrder="0"/>
    </xf>
    <xf borderId="2" fillId="0" fontId="3" numFmtId="0" xfId="0" applyBorder="1" applyFont="1"/>
    <xf borderId="2" fillId="0" fontId="3" numFmtId="0" xfId="0" applyAlignment="1" applyBorder="1" applyFont="1">
      <alignment horizontal="right"/>
    </xf>
    <xf borderId="7" fillId="0" fontId="3" numFmtId="0" xfId="0" applyBorder="1" applyFont="1"/>
    <xf borderId="16" fillId="0" fontId="3" numFmtId="0" xfId="0" applyBorder="1" applyFont="1"/>
    <xf borderId="6" fillId="0" fontId="3" numFmtId="0" xfId="0" applyBorder="1" applyFont="1"/>
    <xf borderId="3" fillId="0" fontId="3" numFmtId="0" xfId="0" applyAlignment="1" applyBorder="1" applyFont="1">
      <alignment readingOrder="0"/>
    </xf>
    <xf borderId="3" fillId="0" fontId="3" numFmtId="0" xfId="0" applyBorder="1" applyFont="1"/>
    <xf borderId="3" fillId="0" fontId="3" numFmtId="0" xfId="0" applyAlignment="1" applyBorder="1" applyFont="1">
      <alignment horizontal="right"/>
    </xf>
    <xf borderId="11" fillId="0" fontId="3" numFmtId="0" xfId="0" applyBorder="1" applyFont="1"/>
    <xf borderId="4" fillId="0" fontId="3" numFmtId="0" xfId="0" applyAlignment="1" applyBorder="1" applyFont="1">
      <alignment readingOrder="0"/>
    </xf>
    <xf borderId="4" fillId="0" fontId="3" numFmtId="0" xfId="0" applyBorder="1" applyFont="1"/>
    <xf borderId="4" fillId="0" fontId="3" numFmtId="0" xfId="0" applyAlignment="1" applyBorder="1" applyFont="1">
      <alignment horizontal="right"/>
    </xf>
    <xf borderId="9" fillId="0" fontId="3" numFmtId="0" xfId="0" applyBorder="1" applyFont="1"/>
    <xf borderId="1" fillId="12" fontId="4" numFmtId="0" xfId="0" applyAlignment="1" applyBorder="1" applyFill="1" applyFont="1">
      <alignment readingOrder="0"/>
    </xf>
    <xf borderId="13" fillId="13" fontId="4" numFmtId="0" xfId="0" applyAlignment="1" applyBorder="1" applyFill="1" applyFont="1">
      <alignment horizontal="center" readingOrder="0"/>
    </xf>
    <xf borderId="1" fillId="14" fontId="4" numFmtId="0" xfId="0" applyAlignment="1" applyBorder="1" applyFill="1" applyFont="1">
      <alignment horizontal="center" readingOrder="0"/>
    </xf>
    <xf borderId="1" fillId="15" fontId="4" numFmtId="0" xfId="0" applyAlignment="1" applyBorder="1" applyFill="1" applyFont="1">
      <alignment horizontal="center" readingOrder="0"/>
    </xf>
    <xf borderId="2" fillId="0" fontId="3" numFmtId="164" xfId="0" applyBorder="1" applyFont="1" applyNumberFormat="1"/>
    <xf borderId="0" fillId="0" fontId="3" numFmtId="0" xfId="0" applyFont="1"/>
    <xf borderId="16" fillId="0" fontId="3" numFmtId="0" xfId="0" applyAlignment="1" applyBorder="1" applyFont="1">
      <alignment horizontal="center" readingOrder="0"/>
    </xf>
    <xf borderId="5" fillId="0" fontId="3" numFmtId="0" xfId="0" applyBorder="1" applyFont="1"/>
    <xf borderId="6" fillId="0" fontId="20" numFmtId="0" xfId="0" applyBorder="1" applyFont="1"/>
    <xf borderId="3" fillId="0" fontId="3" numFmtId="164" xfId="0" applyBorder="1" applyFont="1" applyNumberFormat="1"/>
    <xf borderId="11" fillId="0" fontId="3" numFmtId="0" xfId="0" applyAlignment="1" applyBorder="1" applyFont="1">
      <alignment horizontal="center" readingOrder="0"/>
    </xf>
    <xf borderId="7" fillId="0" fontId="21" numFmtId="0" xfId="0" applyBorder="1" applyFont="1"/>
    <xf borderId="12" fillId="0" fontId="3" numFmtId="0" xfId="0" applyAlignment="1" applyBorder="1" applyFont="1">
      <alignment horizontal="center" readingOrder="0"/>
    </xf>
    <xf borderId="8" fillId="0" fontId="3" numFmtId="0" xfId="0" applyBorder="1" applyFont="1"/>
    <xf borderId="9" fillId="0" fontId="22" numFmtId="0" xfId="0" applyBorder="1" applyFont="1"/>
    <xf borderId="4" fillId="0" fontId="3" numFmtId="164" xfId="0" applyBorder="1" applyFont="1" applyNumberFormat="1"/>
    <xf borderId="1" fillId="16" fontId="4" numFmtId="0" xfId="0" applyAlignment="1" applyBorder="1" applyFill="1" applyFont="1">
      <alignment readingOrder="0" shrinkToFit="0" wrapText="1"/>
    </xf>
    <xf borderId="1" fillId="17" fontId="4" numFmtId="0" xfId="0" applyAlignment="1" applyBorder="1" applyFill="1" applyFont="1">
      <alignment horizontal="center" readingOrder="0"/>
    </xf>
    <xf borderId="11" fillId="0" fontId="3" numFmtId="164" xfId="0" applyBorder="1" applyFont="1" applyNumberFormat="1"/>
    <xf borderId="12" fillId="0" fontId="3" numFmtId="164" xfId="0" applyBorder="1" applyFont="1" applyNumberFormat="1"/>
    <xf borderId="1" fillId="18" fontId="4" numFmtId="0" xfId="0" applyAlignment="1" applyBorder="1" applyFill="1" applyFont="1">
      <alignment readingOrder="0"/>
    </xf>
    <xf borderId="1" fillId="19" fontId="3" numFmtId="0" xfId="0" applyAlignment="1" applyBorder="1" applyFill="1" applyFont="1">
      <alignment readingOrder="0"/>
    </xf>
    <xf borderId="0" fillId="4" fontId="3" numFmtId="0" xfId="0" applyAlignment="1" applyFont="1">
      <alignment readingOrder="0"/>
    </xf>
    <xf borderId="2" fillId="0" fontId="3" numFmtId="0" xfId="0" applyAlignment="1" applyBorder="1" applyFont="1">
      <alignment horizontal="center" readingOrder="0"/>
    </xf>
    <xf borderId="5" fillId="0" fontId="23" numFmtId="0" xfId="0" applyBorder="1" applyFont="1"/>
    <xf borderId="2" fillId="0" fontId="23" numFmtId="0" xfId="0" applyBorder="1" applyFont="1"/>
    <xf borderId="2" fillId="0" fontId="24" numFmtId="0" xfId="0" applyBorder="1" applyFont="1"/>
    <xf borderId="3" fillId="0" fontId="3" numFmtId="0" xfId="0" applyAlignment="1" applyBorder="1" applyFont="1">
      <alignment horizontal="center" readingOrder="0"/>
    </xf>
    <xf borderId="0" fillId="0" fontId="23" numFmtId="0" xfId="0" applyFont="1"/>
    <xf borderId="3" fillId="0" fontId="23" numFmtId="0" xfId="0" applyBorder="1" applyFont="1"/>
    <xf borderId="3" fillId="0" fontId="25" numFmtId="0" xfId="0" applyBorder="1" applyFont="1"/>
    <xf borderId="4" fillId="0" fontId="3" numFmtId="0" xfId="0" applyAlignment="1" applyBorder="1" applyFont="1">
      <alignment horizontal="center" readingOrder="0"/>
    </xf>
    <xf borderId="8" fillId="0" fontId="23" numFmtId="0" xfId="0" applyBorder="1" applyFont="1"/>
    <xf borderId="4" fillId="0" fontId="23" numFmtId="0" xfId="0" applyBorder="1" applyFont="1"/>
    <xf borderId="4" fillId="0" fontId="26" numFmtId="0" xfId="0" applyBorder="1" applyFont="1"/>
    <xf borderId="12" fillId="0" fontId="3" numFmtId="0" xfId="0" applyBorder="1" applyFont="1"/>
    <xf borderId="0" fillId="0" fontId="27" numFmtId="0" xfId="0" applyAlignment="1" applyFont="1">
      <alignment horizontal="center" readingOrder="0"/>
    </xf>
    <xf borderId="0" fillId="4" fontId="4" numFmtId="0" xfId="0" applyAlignment="1" applyFont="1">
      <alignment readingOrder="0" vertical="center"/>
    </xf>
    <xf borderId="1" fillId="3" fontId="4" numFmtId="0" xfId="0" applyAlignment="1" applyBorder="1" applyFont="1">
      <alignment readingOrder="0" vertical="center"/>
    </xf>
    <xf borderId="0" fillId="4" fontId="4" numFmtId="0" xfId="0" applyAlignment="1" applyFont="1">
      <alignment horizontal="center" readingOrder="0"/>
    </xf>
    <xf borderId="17" fillId="3" fontId="4" numFmtId="0" xfId="0" applyAlignment="1" applyBorder="1" applyFont="1">
      <alignment horizontal="center" readingOrder="0"/>
    </xf>
    <xf borderId="18" fillId="0" fontId="19" numFmtId="0" xfId="0" applyBorder="1" applyFont="1"/>
    <xf borderId="0" fillId="4" fontId="28" numFmtId="0" xfId="0" applyAlignment="1" applyFont="1">
      <alignment horizontal="center" vertical="center"/>
    </xf>
    <xf borderId="19" fillId="3" fontId="28" numFmtId="0" xfId="0" applyAlignment="1" applyBorder="1" applyFont="1">
      <alignment horizontal="center" vertical="center"/>
    </xf>
    <xf borderId="20" fillId="0" fontId="19" numFmtId="0" xfId="0" applyBorder="1" applyFont="1"/>
    <xf borderId="19" fillId="3" fontId="28" numFmtId="164" xfId="0" applyAlignment="1" applyBorder="1" applyFont="1" applyNumberFormat="1">
      <alignment horizontal="center" vertical="center"/>
    </xf>
    <xf borderId="21" fillId="0" fontId="19" numFmtId="0" xfId="0" applyBorder="1" applyFont="1"/>
    <xf borderId="22" fillId="0" fontId="19" numFmtId="0" xfId="0" applyBorder="1" applyFont="1"/>
    <xf borderId="23" fillId="3" fontId="4" numFmtId="0" xfId="0" applyBorder="1" applyFont="1"/>
    <xf borderId="24" fillId="0" fontId="19" numFmtId="0" xfId="0" applyBorder="1" applyFont="1"/>
    <xf borderId="4" fillId="3" fontId="4" numFmtId="0" xfId="0" applyAlignment="1" applyBorder="1" applyFont="1">
      <alignment horizontal="center" readingOrder="0"/>
    </xf>
    <xf borderId="1" fillId="3" fontId="4" numFmtId="0" xfId="0" applyAlignment="1" applyBorder="1" applyFont="1">
      <alignment horizontal="center" readingOrder="0"/>
    </xf>
    <xf borderId="2" fillId="0" fontId="29" numFmtId="0" xfId="0" applyAlignment="1" applyBorder="1" applyFont="1">
      <alignment shrinkToFit="0" wrapText="0"/>
    </xf>
    <xf borderId="3" fillId="0" fontId="30" numFmtId="0" xfId="0" applyAlignment="1" applyBorder="1" applyFont="1">
      <alignment shrinkToFit="0" wrapText="0"/>
    </xf>
    <xf borderId="4" fillId="0" fontId="31" numFmtId="0" xfId="0" applyAlignment="1" applyBorder="1" applyFont="1">
      <alignment shrinkToFit="0" wrapText="0"/>
    </xf>
  </cellXfs>
  <cellStyles count="1">
    <cellStyle xfId="0" name="Normal" builtinId="0"/>
  </cellStyles>
  <dxfs count="16">
    <dxf>
      <font/>
      <fill>
        <patternFill patternType="none"/>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FF9AFF"/>
          <bgColor rgb="FFFF9AFF"/>
        </patternFill>
      </fill>
      <border/>
    </dxf>
    <dxf>
      <font/>
      <fill>
        <patternFill patternType="solid">
          <fgColor rgb="FFFFD1E5"/>
          <bgColor rgb="FFFFD1E5"/>
        </patternFill>
      </fill>
      <border/>
    </dxf>
    <dxf>
      <font/>
      <fill>
        <patternFill patternType="solid">
          <fgColor rgb="FFFFB8FF"/>
          <bgColor rgb="FFFFB8FF"/>
        </patternFill>
      </fill>
      <border/>
    </dxf>
    <dxf>
      <font/>
      <fill>
        <patternFill patternType="solid">
          <fgColor rgb="FFF2D4E1"/>
          <bgColor rgb="FFF2D4E1"/>
        </patternFill>
      </fill>
      <border/>
    </dxf>
    <dxf>
      <font/>
      <fill>
        <patternFill patternType="solid">
          <fgColor rgb="FFFFE2EF"/>
          <bgColor rgb="FFFFE2EF"/>
        </patternFill>
      </fill>
      <border/>
    </dxf>
    <dxf>
      <font/>
      <fill>
        <patternFill patternType="solid">
          <fgColor rgb="FF5B95F9"/>
          <bgColor rgb="FF5B95F9"/>
        </patternFill>
      </fill>
      <border/>
    </dxf>
    <dxf>
      <font/>
      <fill>
        <patternFill patternType="solid">
          <fgColor rgb="FFC9DAF8"/>
          <bgColor rgb="FFC9DAF8"/>
        </patternFill>
      </fill>
      <border/>
    </dxf>
    <dxf>
      <font/>
      <fill>
        <patternFill patternType="solid">
          <fgColor rgb="FFE7EFF5"/>
          <bgColor rgb="FFE7EFF5"/>
        </patternFill>
      </fill>
      <border/>
    </dxf>
    <dxf>
      <font/>
      <fill>
        <patternFill patternType="solid">
          <fgColor rgb="FF000000"/>
          <bgColor rgb="FF000000"/>
        </patternFill>
      </fill>
      <border/>
    </dxf>
    <dxf>
      <font/>
      <fill>
        <patternFill patternType="solid">
          <fgColor rgb="FFEFEFEF"/>
          <bgColor rgb="FFEFEFEF"/>
        </patternFill>
      </fill>
      <border/>
    </dxf>
    <dxf>
      <font/>
      <fill>
        <patternFill patternType="solid">
          <fgColor rgb="FFCCCCCC"/>
          <bgColor rgb="FFCCCCCC"/>
        </patternFill>
      </fill>
      <border/>
    </dxf>
    <dxf>
      <font/>
      <fill>
        <patternFill patternType="solid">
          <fgColor rgb="FF4DD0E1"/>
          <bgColor rgb="FF4DD0E1"/>
        </patternFill>
      </fill>
      <border/>
    </dxf>
    <dxf>
      <font/>
      <fill>
        <patternFill patternType="solid">
          <fgColor rgb="FFE0F7FA"/>
          <bgColor rgb="FFE0F7FA"/>
        </patternFill>
      </fill>
      <border/>
    </dxf>
  </dxfs>
  <tableStyles count="8">
    <tableStyle count="2" pivot="0" name="README-style">
      <tableStyleElement dxfId="1" type="firstRowStripe"/>
      <tableStyleElement dxfId="2" type="secondRowStripe"/>
    </tableStyle>
    <tableStyle count="2" pivot="0" name="README-style 2">
      <tableStyleElement dxfId="1" type="firstRowStripe"/>
      <tableStyleElement dxfId="2" type="secondRowStripe"/>
    </tableStyle>
    <tableStyle count="3" pivot="0" name="Instagram-style">
      <tableStyleElement dxfId="3" type="headerRow"/>
      <tableStyleElement dxfId="4" type="firstRowStripe"/>
      <tableStyleElement dxfId="1" type="secondRowStripe"/>
    </tableStyle>
    <tableStyle count="3" pivot="0" name="Instagram-style 2">
      <tableStyleElement dxfId="5" type="headerRow"/>
      <tableStyleElement dxfId="6" type="firstRowStripe"/>
      <tableStyleElement dxfId="7" type="secondRowStripe"/>
    </tableStyle>
    <tableStyle count="3" pivot="0" name="LinkedIn-style">
      <tableStyleElement dxfId="8" type="headerRow"/>
      <tableStyleElement dxfId="9" type="firstRowStripe"/>
      <tableStyleElement dxfId="10" type="secondRowStripe"/>
    </tableStyle>
    <tableStyle count="3" pivot="0" name="X-style">
      <tableStyleElement dxfId="11" type="headerRow"/>
      <tableStyleElement dxfId="12" type="firstRowStripe"/>
      <tableStyleElement dxfId="13" type="secondRowStripe"/>
    </tableStyle>
    <tableStyle count="3" pivot="0" name="ArtStation-style">
      <tableStyleElement dxfId="14" type="headerRow"/>
      <tableStyleElement dxfId="1" type="firstRowStripe"/>
      <tableStyleElement dxfId="15" type="secondRowStripe"/>
    </tableStyle>
    <tableStyle count="2" pivot="0" name="engagement-style">
      <tableStyleElement dxfId="1" type="firstRowStripe"/>
      <tableStyleElement dxfId="1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Posting Frequency by Month</a:t>
            </a:r>
          </a:p>
        </c:rich>
      </c:tx>
      <c:overlay val="0"/>
    </c:title>
    <c:plotArea>
      <c:layout/>
      <c:lineChart>
        <c:ser>
          <c:idx val="0"/>
          <c:order val="0"/>
          <c:tx>
            <c:strRef>
              <c:f>summary!$B$10</c:f>
            </c:strRef>
          </c:tx>
          <c:spPr>
            <a:ln cmpd="sng">
              <a:solidFill>
                <a:srgbClr val="C13584">
                  <a:alpha val="100000"/>
                </a:srgbClr>
              </a:solidFill>
            </a:ln>
          </c:spPr>
          <c:marker>
            <c:symbol val="none"/>
          </c:marker>
          <c:cat>
            <c:strRef>
              <c:f>summary!$A$11:$A$49</c:f>
            </c:strRef>
          </c:cat>
          <c:val>
            <c:numRef>
              <c:f>summary!$B$11:$B$49</c:f>
              <c:numCache/>
            </c:numRef>
          </c:val>
          <c:smooth val="0"/>
        </c:ser>
        <c:ser>
          <c:idx val="1"/>
          <c:order val="1"/>
          <c:tx>
            <c:strRef>
              <c:f>summary!$C$10</c:f>
            </c:strRef>
          </c:tx>
          <c:spPr>
            <a:ln cmpd="sng">
              <a:solidFill>
                <a:srgbClr val="000000">
                  <a:alpha val="100000"/>
                </a:srgbClr>
              </a:solidFill>
            </a:ln>
          </c:spPr>
          <c:marker>
            <c:symbol val="none"/>
          </c:marker>
          <c:cat>
            <c:strRef>
              <c:f>summary!$A$11:$A$49</c:f>
            </c:strRef>
          </c:cat>
          <c:val>
            <c:numRef>
              <c:f>summary!$C$11:$C$49</c:f>
              <c:numCache/>
            </c:numRef>
          </c:val>
          <c:smooth val="0"/>
        </c:ser>
        <c:ser>
          <c:idx val="2"/>
          <c:order val="2"/>
          <c:tx>
            <c:strRef>
              <c:f>summary!$D$10</c:f>
            </c:strRef>
          </c:tx>
          <c:spPr>
            <a:ln cmpd="sng">
              <a:solidFill>
                <a:srgbClr val="0A66C2">
                  <a:alpha val="100000"/>
                </a:srgbClr>
              </a:solidFill>
            </a:ln>
          </c:spPr>
          <c:marker>
            <c:symbol val="none"/>
          </c:marker>
          <c:cat>
            <c:strRef>
              <c:f>summary!$A$11:$A$49</c:f>
            </c:strRef>
          </c:cat>
          <c:val>
            <c:numRef>
              <c:f>summary!$D$11:$D$49</c:f>
              <c:numCache/>
            </c:numRef>
          </c:val>
          <c:smooth val="0"/>
        </c:ser>
        <c:ser>
          <c:idx val="3"/>
          <c:order val="3"/>
          <c:tx>
            <c:strRef>
              <c:f>summary!$E$10</c:f>
            </c:strRef>
          </c:tx>
          <c:spPr>
            <a:ln cmpd="sng">
              <a:solidFill>
                <a:srgbClr val="4DD0E1">
                  <a:alpha val="100000"/>
                </a:srgbClr>
              </a:solidFill>
            </a:ln>
          </c:spPr>
          <c:marker>
            <c:symbol val="none"/>
          </c:marker>
          <c:cat>
            <c:strRef>
              <c:f>summary!$A$11:$A$49</c:f>
            </c:strRef>
          </c:cat>
          <c:val>
            <c:numRef>
              <c:f>summary!$E$11:$E$49</c:f>
              <c:numCache/>
            </c:numRef>
          </c:val>
          <c:smooth val="0"/>
        </c:ser>
        <c:axId val="1409499864"/>
        <c:axId val="1997974906"/>
      </c:lineChart>
      <c:catAx>
        <c:axId val="1409499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97974906"/>
      </c:catAx>
      <c:valAx>
        <c:axId val="1997974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949986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Views and Likes Over Time</a:t>
            </a:r>
          </a:p>
        </c:rich>
      </c:tx>
      <c:overlay val="0"/>
    </c:title>
    <c:plotArea>
      <c:layout/>
      <c:lineChart>
        <c:ser>
          <c:idx val="0"/>
          <c:order val="0"/>
          <c:tx>
            <c:strRef>
              <c:f>summary!$K$2</c:f>
            </c:strRef>
          </c:tx>
          <c:spPr>
            <a:ln cmpd="sng">
              <a:solidFill>
                <a:srgbClr val="9900FF">
                  <a:alpha val="100000"/>
                </a:srgbClr>
              </a:solidFill>
            </a:ln>
          </c:spPr>
          <c:marker>
            <c:symbol val="none"/>
          </c:marker>
          <c:cat>
            <c:strRef>
              <c:f>summary!$J$3:$J$182</c:f>
            </c:strRef>
          </c:cat>
          <c:val>
            <c:numRef>
              <c:f>summary!$K$3:$K$182</c:f>
              <c:numCache/>
            </c:numRef>
          </c:val>
          <c:smooth val="0"/>
        </c:ser>
        <c:ser>
          <c:idx val="1"/>
          <c:order val="1"/>
          <c:tx>
            <c:strRef>
              <c:f>summary!$L$2</c:f>
            </c:strRef>
          </c:tx>
          <c:spPr>
            <a:ln cmpd="sng">
              <a:solidFill>
                <a:srgbClr val="E69138">
                  <a:alpha val="100000"/>
                </a:srgbClr>
              </a:solidFill>
            </a:ln>
          </c:spPr>
          <c:marker>
            <c:symbol val="none"/>
          </c:marker>
          <c:cat>
            <c:strRef>
              <c:f>summary!$J$3:$J$182</c:f>
            </c:strRef>
          </c:cat>
          <c:val>
            <c:numRef>
              <c:f>summary!$L$3:$L$182</c:f>
              <c:numCache/>
            </c:numRef>
          </c:val>
          <c:smooth val="0"/>
        </c:ser>
        <c:axId val="1736404427"/>
        <c:axId val="1316074076"/>
      </c:lineChart>
      <c:catAx>
        <c:axId val="1736404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6074076"/>
      </c:catAx>
      <c:valAx>
        <c:axId val="1316074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64044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Total Engagement by Platform</a:t>
            </a:r>
          </a:p>
        </c:rich>
      </c:tx>
      <c:overlay val="0"/>
    </c:title>
    <c:plotArea>
      <c:layout/>
      <c:barChart>
        <c:barDir val="col"/>
        <c:grouping val="stacked"/>
        <c:ser>
          <c:idx val="0"/>
          <c:order val="0"/>
          <c:tx>
            <c:strRef>
              <c:f>summary!$O$2</c:f>
            </c:strRef>
          </c:tx>
          <c:spPr>
            <a:solidFill>
              <a:srgbClr val="E69138"/>
            </a:solidFill>
            <a:ln cmpd="sng">
              <a:solidFill>
                <a:srgbClr val="000000"/>
              </a:solidFill>
            </a:ln>
          </c:spPr>
          <c:cat>
            <c:strRef>
              <c:f>summary!$A$3:$A$6</c:f>
            </c:strRef>
          </c:cat>
          <c:val>
            <c:numRef>
              <c:f>summary!$O$3:$O$6</c:f>
              <c:numCache/>
            </c:numRef>
          </c:val>
        </c:ser>
        <c:ser>
          <c:idx val="1"/>
          <c:order val="1"/>
          <c:tx>
            <c:strRef>
              <c:f>summary!$P$2</c:f>
            </c:strRef>
          </c:tx>
          <c:spPr>
            <a:solidFill>
              <a:srgbClr val="93C47D"/>
            </a:solidFill>
            <a:ln cmpd="sng">
              <a:solidFill>
                <a:srgbClr val="000000"/>
              </a:solidFill>
            </a:ln>
          </c:spPr>
          <c:cat>
            <c:strRef>
              <c:f>summary!$A$3:$A$6</c:f>
            </c:strRef>
          </c:cat>
          <c:val>
            <c:numRef>
              <c:f>summary!$P$3:$P$6</c:f>
              <c:numCache/>
            </c:numRef>
          </c:val>
        </c:ser>
        <c:ser>
          <c:idx val="2"/>
          <c:order val="2"/>
          <c:tx>
            <c:strRef>
              <c:f>summary!$Q$2</c:f>
            </c:strRef>
          </c:tx>
          <c:spPr>
            <a:solidFill>
              <a:srgbClr val="4A86E8"/>
            </a:solidFill>
            <a:ln cmpd="sng">
              <a:solidFill>
                <a:srgbClr val="000000"/>
              </a:solidFill>
            </a:ln>
          </c:spPr>
          <c:cat>
            <c:strRef>
              <c:f>summary!$A$3:$A$6</c:f>
            </c:strRef>
          </c:cat>
          <c:val>
            <c:numRef>
              <c:f>summary!$Q$3:$Q$6</c:f>
              <c:numCache/>
            </c:numRef>
          </c:val>
        </c:ser>
        <c:overlap val="100"/>
        <c:axId val="164181550"/>
        <c:axId val="2065003174"/>
      </c:barChart>
      <c:catAx>
        <c:axId val="164181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000000"/>
                </a:solidFill>
                <a:latin typeface="+mn-lt"/>
              </a:defRPr>
            </a:pPr>
          </a:p>
        </c:txPr>
        <c:crossAx val="2065003174"/>
      </c:catAx>
      <c:valAx>
        <c:axId val="20650031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181550"/>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295275</xdr:colOff>
      <xdr:row>28</xdr:row>
      <xdr:rowOff>0</xdr:rowOff>
    </xdr:from>
    <xdr:ext cx="6038850" cy="3743325"/>
    <xdr:pic>
      <xdr:nvPicPr>
        <xdr:cNvPr id="179117110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1133475</xdr:colOff>
      <xdr:row>6</xdr:row>
      <xdr:rowOff>180975</xdr:rowOff>
    </xdr:from>
    <xdr:ext cx="6038850" cy="37433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295275</xdr:colOff>
      <xdr:row>6</xdr:row>
      <xdr:rowOff>180975</xdr:rowOff>
    </xdr:from>
    <xdr:ext cx="6038850" cy="37433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1057275</xdr:colOff>
      <xdr:row>28</xdr:row>
      <xdr:rowOff>0</xdr:rowOff>
    </xdr:from>
    <xdr:ext cx="6038850" cy="37433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B11" displayName="Table_1" name="Table_1" id="1">
  <tableColumns count="2">
    <tableColumn name="Column1" id="1"/>
    <tableColumn name="Column2" id="2"/>
  </tableColumns>
  <tableStyleInfo name="README-style" showColumnStripes="0" showFirstColumn="1" showLastColumn="1" showRowStripes="1"/>
</table>
</file>

<file path=xl/tables/table2.xml><?xml version="1.0" encoding="utf-8"?>
<table xmlns="http://schemas.openxmlformats.org/spreadsheetml/2006/main" headerRowCount="0" ref="D5:E13" displayName="Table_2" name="Table_2" id="2">
  <tableColumns count="2">
    <tableColumn name="Column1" id="1"/>
    <tableColumn name="Column2" id="2"/>
  </tableColumns>
  <tableStyleInfo name="README-style 2" showColumnStripes="0" showFirstColumn="1" showLastColumn="1" showRowStripes="1"/>
</table>
</file>

<file path=xl/tables/table3.xml><?xml version="1.0" encoding="utf-8"?>
<table xmlns="http://schemas.openxmlformats.org/spreadsheetml/2006/main" ref="A1:H136" displayName="Table_3" name="Table_3" id="3">
  <tableColumns count="8">
    <tableColumn name="shortCode" id="1"/>
    <tableColumn name="url" id="2"/>
    <tableColumn name="type" id="3"/>
    <tableColumn name="timestamp" id="4"/>
    <tableColumn name="likesCount" id="5"/>
    <tableColumn name="commentsCount" id="6"/>
    <tableColumn name="caption" id="7"/>
    <tableColumn name="hashtags" id="8"/>
  </tableColumns>
  <tableStyleInfo name="Instagram-style" showColumnStripes="0" showFirstColumn="1" showLastColumn="1" showRowStripes="1"/>
</table>
</file>

<file path=xl/tables/table4.xml><?xml version="1.0" encoding="utf-8"?>
<table xmlns="http://schemas.openxmlformats.org/spreadsheetml/2006/main" headerRowCount="0" ref="I2" displayName="Table_4" name="Table_4" id="4">
  <tableColumns count="1">
    <tableColumn name="Column1" id="1"/>
  </tableColumns>
  <tableStyleInfo name="Instagram-style 2"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H54" displayName="Table_5" name="Table_5" id="5">
  <tableColumns count="8">
    <tableColumn name="url" id="1"/>
    <tableColumn name="text" id="2"/>
    <tableColumn name="postedAtISO" id="3"/>
    <tableColumn name="numLikes" id="4"/>
    <tableColumn name="numComments" id="5"/>
    <tableColumn name="numShares" id="6"/>
    <tableColumn name="type" id="7"/>
    <tableColumn name="document/title" id="8"/>
  </tableColumns>
  <tableStyleInfo name="LinkedIn-style" showColumnStripes="0" showFirstColumn="1" showLastColumn="1" showRowStripes="1"/>
</table>
</file>

<file path=xl/tables/table6.xml><?xml version="1.0" encoding="utf-8"?>
<table xmlns="http://schemas.openxmlformats.org/spreadsheetml/2006/main" ref="A1:N181" displayName="Table_6" name="Table_6" id="6">
  <tableColumns count="14">
    <tableColumn name="url" id="1"/>
    <tableColumn name="twitterUrl" id="2"/>
    <tableColumn name="createdAt" id="3"/>
    <tableColumn name="text" id="4"/>
    <tableColumn name="lang" id="5"/>
    <tableColumn name="likeCount" id="6"/>
    <tableColumn name="replyCount" id="7"/>
    <tableColumn name="retweetCount" id="8"/>
    <tableColumn name="quoteCount" id="9"/>
    <tableColumn name="viewCount" id="10"/>
    <tableColumn name="bookmarkCount" id="11"/>
    <tableColumn name="isPinned" id="12"/>
    <tableColumn name="hashtags" id="13"/>
    <tableColumn name="retweet+quote" id="14"/>
  </tableColumns>
  <tableStyleInfo name="X-style" showColumnStripes="0" showFirstColumn="1" showLastColumn="1" showRowStripes="1"/>
</table>
</file>

<file path=xl/tables/table7.xml><?xml version="1.0" encoding="utf-8"?>
<table xmlns="http://schemas.openxmlformats.org/spreadsheetml/2006/main" ref="A1:J62" displayName="Table_7" name="Table_7" id="7">
  <tableColumns count="10">
    <tableColumn name="project title" id="1"/>
    <tableColumn name="game" id="2"/>
    <tableColumn name="client" id="3"/>
    <tableColumn name="date published" id="4"/>
    <tableColumn name="views" id="5"/>
    <tableColumn name="likes" id="6"/>
    <tableColumn name="comments" id="7"/>
    <tableColumn name="content type" id="8"/>
    <tableColumn name="number of images" id="9"/>
    <tableColumn name="url" id="10"/>
  </tableColumns>
  <tableStyleInfo name="ArtStation-style" showColumnStripes="0" showFirstColumn="1" showLastColumn="1" showRowStripes="1"/>
</table>
</file>

<file path=xl/tables/table8.xml><?xml version="1.0" encoding="utf-8"?>
<table xmlns="http://schemas.openxmlformats.org/spreadsheetml/2006/main" headerRowCount="0" ref="A2:J430"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engage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nstagram.com/p/DIB2MUKPVJK/" TargetMode="External"/><Relationship Id="rId42" Type="http://schemas.openxmlformats.org/officeDocument/2006/relationships/hyperlink" Target="https://www.instagram.com/p/DH6ERglP4HC/" TargetMode="External"/><Relationship Id="rId41" Type="http://schemas.openxmlformats.org/officeDocument/2006/relationships/hyperlink" Target="https://www.instagram.com/p/DIMFbNuPaGq/" TargetMode="External"/><Relationship Id="rId44" Type="http://schemas.openxmlformats.org/officeDocument/2006/relationships/hyperlink" Target="https://www.instagram.com/p/DIBfKnjPaca/" TargetMode="External"/><Relationship Id="rId43" Type="http://schemas.openxmlformats.org/officeDocument/2006/relationships/hyperlink" Target="https://www.instagram.com/p/DIRLk-xvI3R/" TargetMode="External"/><Relationship Id="rId46" Type="http://schemas.openxmlformats.org/officeDocument/2006/relationships/hyperlink" Target="https://www.instagram.com/p/DH6DdBfv4KQ/" TargetMode="External"/><Relationship Id="rId45" Type="http://schemas.openxmlformats.org/officeDocument/2006/relationships/hyperlink" Target="https://www.instagram.com/p/DH_NakmPF2P/" TargetMode="External"/><Relationship Id="rId107" Type="http://schemas.openxmlformats.org/officeDocument/2006/relationships/hyperlink" Target="https://www.instagram.com/p/C1L_atByi9W/" TargetMode="External"/><Relationship Id="rId106" Type="http://schemas.openxmlformats.org/officeDocument/2006/relationships/hyperlink" Target="https://www.instagram.com/p/Czd5CEWPxYu/" TargetMode="External"/><Relationship Id="rId105" Type="http://schemas.openxmlformats.org/officeDocument/2006/relationships/hyperlink" Target="https://www.instagram.com/p/C0MVK83PJ9Q/" TargetMode="External"/><Relationship Id="rId104" Type="http://schemas.openxmlformats.org/officeDocument/2006/relationships/hyperlink" Target="https://www.instagram.com/p/C00ixZSvIFw/" TargetMode="External"/><Relationship Id="rId109" Type="http://schemas.openxmlformats.org/officeDocument/2006/relationships/hyperlink" Target="https://www.instagram.com/p/CzL8HUcPygA/" TargetMode="External"/><Relationship Id="rId108" Type="http://schemas.openxmlformats.org/officeDocument/2006/relationships/hyperlink" Target="https://www.instagram.com/p/DFusWPIPGOy/" TargetMode="External"/><Relationship Id="rId48" Type="http://schemas.openxmlformats.org/officeDocument/2006/relationships/hyperlink" Target="https://www.instagram.com/p/DHTce04vyrf/" TargetMode="External"/><Relationship Id="rId47" Type="http://schemas.openxmlformats.org/officeDocument/2006/relationships/hyperlink" Target="https://www.instagram.com/p/DNDoON_vXWF/" TargetMode="External"/><Relationship Id="rId49" Type="http://schemas.openxmlformats.org/officeDocument/2006/relationships/hyperlink" Target="https://www.instagram.com/p/DHWJb3zyxm5/" TargetMode="External"/><Relationship Id="rId103" Type="http://schemas.openxmlformats.org/officeDocument/2006/relationships/hyperlink" Target="https://www.instagram.com/p/C1KIw3MPhzs/" TargetMode="External"/><Relationship Id="rId102" Type="http://schemas.openxmlformats.org/officeDocument/2006/relationships/hyperlink" Target="https://www.instagram.com/p/C8HsE94vMgn/" TargetMode="External"/><Relationship Id="rId101" Type="http://schemas.openxmlformats.org/officeDocument/2006/relationships/hyperlink" Target="https://www.instagram.com/p/C8HsVYwP1cJ/" TargetMode="External"/><Relationship Id="rId100" Type="http://schemas.openxmlformats.org/officeDocument/2006/relationships/hyperlink" Target="https://www.instagram.com/p/DB3hmsnvaFo/" TargetMode="External"/><Relationship Id="rId31" Type="http://schemas.openxmlformats.org/officeDocument/2006/relationships/hyperlink" Target="https://www.instagram.com/p/DPEVVGrEuen/" TargetMode="External"/><Relationship Id="rId30" Type="http://schemas.openxmlformats.org/officeDocument/2006/relationships/hyperlink" Target="https://www.instagram.com/p/DNnj5ZHPWM3/" TargetMode="External"/><Relationship Id="rId33" Type="http://schemas.openxmlformats.org/officeDocument/2006/relationships/hyperlink" Target="https://www.instagram.com/p/DT2noQ_kqS4/" TargetMode="External"/><Relationship Id="rId32" Type="http://schemas.openxmlformats.org/officeDocument/2006/relationships/hyperlink" Target="https://www.instagram.com/p/DNDoYiCPpMG/" TargetMode="External"/><Relationship Id="rId35" Type="http://schemas.openxmlformats.org/officeDocument/2006/relationships/hyperlink" Target="https://www.instagram.com/p/DMxmzVkPUyr/" TargetMode="External"/><Relationship Id="rId34" Type="http://schemas.openxmlformats.org/officeDocument/2006/relationships/hyperlink" Target="https://www.instagram.com/p/DMz0ufwvrOT/" TargetMode="External"/><Relationship Id="rId37" Type="http://schemas.openxmlformats.org/officeDocument/2006/relationships/hyperlink" Target="https://www.instagram.com/p/DH8eMVtPqmB/" TargetMode="External"/><Relationship Id="rId36" Type="http://schemas.openxmlformats.org/officeDocument/2006/relationships/hyperlink" Target="https://www.instagram.com/p/DH5yq6fPXaw/" TargetMode="External"/><Relationship Id="rId39" Type="http://schemas.openxmlformats.org/officeDocument/2006/relationships/hyperlink" Target="https://www.instagram.com/p/DH8w7O_qjra/" TargetMode="External"/><Relationship Id="rId38" Type="http://schemas.openxmlformats.org/officeDocument/2006/relationships/hyperlink" Target="https://www.instagram.com/p/DIeE5rSPYqu/" TargetMode="External"/><Relationship Id="rId20" Type="http://schemas.openxmlformats.org/officeDocument/2006/relationships/hyperlink" Target="https://www.instagram.com/p/DMIQCNGxgkT/" TargetMode="External"/><Relationship Id="rId22" Type="http://schemas.openxmlformats.org/officeDocument/2006/relationships/hyperlink" Target="https://www.instagram.com/p/DMxnGjHvuoM/" TargetMode="External"/><Relationship Id="rId21" Type="http://schemas.openxmlformats.org/officeDocument/2006/relationships/hyperlink" Target="https://www.instagram.com/p/DMz1j-NPtKw/" TargetMode="External"/><Relationship Id="rId24" Type="http://schemas.openxmlformats.org/officeDocument/2006/relationships/hyperlink" Target="https://www.instagram.com/p/DMNlwlEvy6R/" TargetMode="External"/><Relationship Id="rId23" Type="http://schemas.openxmlformats.org/officeDocument/2006/relationships/hyperlink" Target="https://www.instagram.com/p/DMhrDvGPEat/" TargetMode="External"/><Relationship Id="rId129" Type="http://schemas.openxmlformats.org/officeDocument/2006/relationships/hyperlink" Target="https://www.instagram.com/p/B9-6gl9DtwF/" TargetMode="External"/><Relationship Id="rId128" Type="http://schemas.openxmlformats.org/officeDocument/2006/relationships/hyperlink" Target="https://www.instagram.com/p/Ci-aTpCPtkl/" TargetMode="External"/><Relationship Id="rId127" Type="http://schemas.openxmlformats.org/officeDocument/2006/relationships/hyperlink" Target="https://www.instagram.com/p/CXrOUwmPPru/" TargetMode="External"/><Relationship Id="rId126" Type="http://schemas.openxmlformats.org/officeDocument/2006/relationships/hyperlink" Target="https://www.instagram.com/p/CUXUdPyvrK7/" TargetMode="External"/><Relationship Id="rId26" Type="http://schemas.openxmlformats.org/officeDocument/2006/relationships/hyperlink" Target="https://www.instagram.com/p/DMxniOFPeun/" TargetMode="External"/><Relationship Id="rId121" Type="http://schemas.openxmlformats.org/officeDocument/2006/relationships/hyperlink" Target="https://www.instagram.com/p/CX6mZOKKpnG/" TargetMode="External"/><Relationship Id="rId25" Type="http://schemas.openxmlformats.org/officeDocument/2006/relationships/hyperlink" Target="https://www.instagram.com/p/DMe16yyPFsC/" TargetMode="External"/><Relationship Id="rId120" Type="http://schemas.openxmlformats.org/officeDocument/2006/relationships/hyperlink" Target="https://www.instagram.com/p/CxzJ11TPqdn/" TargetMode="External"/><Relationship Id="rId28" Type="http://schemas.openxmlformats.org/officeDocument/2006/relationships/hyperlink" Target="https://www.instagram.com/p/DMe2eT4PLoV/" TargetMode="External"/><Relationship Id="rId27" Type="http://schemas.openxmlformats.org/officeDocument/2006/relationships/hyperlink" Target="https://www.instagram.com/p/DIjQVQWPXxk/" TargetMode="External"/><Relationship Id="rId125" Type="http://schemas.openxmlformats.org/officeDocument/2006/relationships/hyperlink" Target="https://www.instagram.com/p/CaHqQxHPt40/" TargetMode="External"/><Relationship Id="rId29" Type="http://schemas.openxmlformats.org/officeDocument/2006/relationships/hyperlink" Target="https://www.instagram.com/p/DQodvqxkmtx/" TargetMode="External"/><Relationship Id="rId124" Type="http://schemas.openxmlformats.org/officeDocument/2006/relationships/hyperlink" Target="https://www.instagram.com/p/CUc5PxOpSMK/" TargetMode="External"/><Relationship Id="rId123" Type="http://schemas.openxmlformats.org/officeDocument/2006/relationships/hyperlink" Target="https://www.instagram.com/p/Cd8gVHdpug-/" TargetMode="External"/><Relationship Id="rId122" Type="http://schemas.openxmlformats.org/officeDocument/2006/relationships/hyperlink" Target="https://www.instagram.com/p/CUK42GqAnDU/" TargetMode="External"/><Relationship Id="rId95" Type="http://schemas.openxmlformats.org/officeDocument/2006/relationships/hyperlink" Target="https://www.instagram.com/p/C0T-EX4vrg1/" TargetMode="External"/><Relationship Id="rId94" Type="http://schemas.openxmlformats.org/officeDocument/2006/relationships/hyperlink" Target="https://www.instagram.com/p/C0T9we0vKxp/" TargetMode="External"/><Relationship Id="rId97" Type="http://schemas.openxmlformats.org/officeDocument/2006/relationships/hyperlink" Target="https://www.instagram.com/p/C1NaStvSbXq/" TargetMode="External"/><Relationship Id="rId96" Type="http://schemas.openxmlformats.org/officeDocument/2006/relationships/hyperlink" Target="https://www.instagram.com/p/C2ALFIpvKUe/" TargetMode="External"/><Relationship Id="rId11" Type="http://schemas.openxmlformats.org/officeDocument/2006/relationships/hyperlink" Target="https://www.instagram.com/p/DNnjiykvUhq/" TargetMode="External"/><Relationship Id="rId99" Type="http://schemas.openxmlformats.org/officeDocument/2006/relationships/hyperlink" Target="https://www.instagram.com/p/DHJLx_GvFal/" TargetMode="External"/><Relationship Id="rId10" Type="http://schemas.openxmlformats.org/officeDocument/2006/relationships/hyperlink" Target="https://www.instagram.com/p/DOqfG63Euxl/" TargetMode="External"/><Relationship Id="rId98" Type="http://schemas.openxmlformats.org/officeDocument/2006/relationships/hyperlink" Target="https://www.instagram.com/p/C7O_Jo4PcIW/" TargetMode="External"/><Relationship Id="rId13" Type="http://schemas.openxmlformats.org/officeDocument/2006/relationships/hyperlink" Target="https://www.instagram.com/p/DP6YhSsku6r/" TargetMode="External"/><Relationship Id="rId12" Type="http://schemas.openxmlformats.org/officeDocument/2006/relationships/hyperlink" Target="https://www.instagram.com/p/DNDq8MMqoad/" TargetMode="External"/><Relationship Id="rId91" Type="http://schemas.openxmlformats.org/officeDocument/2006/relationships/hyperlink" Target="https://www.instagram.com/p/DCHM1CLv2Kr/" TargetMode="External"/><Relationship Id="rId90" Type="http://schemas.openxmlformats.org/officeDocument/2006/relationships/hyperlink" Target="https://www.instagram.com/p/CzoFYiuP2Sa/" TargetMode="External"/><Relationship Id="rId93" Type="http://schemas.openxmlformats.org/officeDocument/2006/relationships/hyperlink" Target="https://www.instagram.com/p/C1RNsV2SGWt/" TargetMode="External"/><Relationship Id="rId92" Type="http://schemas.openxmlformats.org/officeDocument/2006/relationships/hyperlink" Target="https://www.instagram.com/p/C2xFZnwPNb3/" TargetMode="External"/><Relationship Id="rId118" Type="http://schemas.openxmlformats.org/officeDocument/2006/relationships/hyperlink" Target="https://www.instagram.com/p/CzWegoHv2J1/" TargetMode="External"/><Relationship Id="rId117" Type="http://schemas.openxmlformats.org/officeDocument/2006/relationships/hyperlink" Target="https://www.instagram.com/p/Cy50ADsvbJp/" TargetMode="External"/><Relationship Id="rId116" Type="http://schemas.openxmlformats.org/officeDocument/2006/relationships/hyperlink" Target="https://www.instagram.com/p/CstZx5yy1NU/" TargetMode="External"/><Relationship Id="rId115" Type="http://schemas.openxmlformats.org/officeDocument/2006/relationships/hyperlink" Target="https://www.instagram.com/p/CxYPjptvAKo/" TargetMode="External"/><Relationship Id="rId119" Type="http://schemas.openxmlformats.org/officeDocument/2006/relationships/hyperlink" Target="https://www.instagram.com/p/CzGpRWiP4nv/" TargetMode="External"/><Relationship Id="rId15" Type="http://schemas.openxmlformats.org/officeDocument/2006/relationships/hyperlink" Target="https://www.instagram.com/p/DQhLQ9xkkqD/" TargetMode="External"/><Relationship Id="rId110" Type="http://schemas.openxmlformats.org/officeDocument/2006/relationships/hyperlink" Target="https://www.instagram.com/p/CxPP8JfyB35/" TargetMode="External"/><Relationship Id="rId14" Type="http://schemas.openxmlformats.org/officeDocument/2006/relationships/hyperlink" Target="https://www.instagram.com/p/DNnkStwvakl/" TargetMode="External"/><Relationship Id="rId17" Type="http://schemas.openxmlformats.org/officeDocument/2006/relationships/hyperlink" Target="https://www.instagram.com/p/DRjy3agEixU/" TargetMode="External"/><Relationship Id="rId16" Type="http://schemas.openxmlformats.org/officeDocument/2006/relationships/hyperlink" Target="https://www.instagram.com/p/DOV_mVfkrsC/" TargetMode="External"/><Relationship Id="rId19" Type="http://schemas.openxmlformats.org/officeDocument/2006/relationships/hyperlink" Target="https://www.instagram.com/p/DV7xZFnkoNz/" TargetMode="External"/><Relationship Id="rId114" Type="http://schemas.openxmlformats.org/officeDocument/2006/relationships/hyperlink" Target="https://www.instagram.com/p/CrlXVzKpVpX/" TargetMode="External"/><Relationship Id="rId18" Type="http://schemas.openxmlformats.org/officeDocument/2006/relationships/hyperlink" Target="https://www.instagram.com/p/DUbBPEBEk9K/" TargetMode="External"/><Relationship Id="rId113" Type="http://schemas.openxmlformats.org/officeDocument/2006/relationships/hyperlink" Target="https://www.instagram.com/p/Cmg7y5NhhaO/" TargetMode="External"/><Relationship Id="rId112" Type="http://schemas.openxmlformats.org/officeDocument/2006/relationships/hyperlink" Target="https://www.instagram.com/p/CzT9IACvpWg/" TargetMode="External"/><Relationship Id="rId111" Type="http://schemas.openxmlformats.org/officeDocument/2006/relationships/hyperlink" Target="https://www.instagram.com/p/Cqutga1pHyr/" TargetMode="External"/><Relationship Id="rId84" Type="http://schemas.openxmlformats.org/officeDocument/2006/relationships/hyperlink" Target="https://www.instagram.com/p/C3IIrCsv9yr/" TargetMode="External"/><Relationship Id="rId83" Type="http://schemas.openxmlformats.org/officeDocument/2006/relationships/hyperlink" Target="https://www.instagram.com/p/C-8NVItSB6V/" TargetMode="External"/><Relationship Id="rId86" Type="http://schemas.openxmlformats.org/officeDocument/2006/relationships/hyperlink" Target="https://www.instagram.com/p/DBjc0pEPmCU/" TargetMode="External"/><Relationship Id="rId85" Type="http://schemas.openxmlformats.org/officeDocument/2006/relationships/hyperlink" Target="https://www.instagram.com/p/C7O_i2bPP-K/" TargetMode="External"/><Relationship Id="rId88" Type="http://schemas.openxmlformats.org/officeDocument/2006/relationships/hyperlink" Target="https://www.instagram.com/p/C8tWmLvvLJU/" TargetMode="External"/><Relationship Id="rId87" Type="http://schemas.openxmlformats.org/officeDocument/2006/relationships/hyperlink" Target="https://www.instagram.com/p/DBydd8SP-Xm/" TargetMode="External"/><Relationship Id="rId89" Type="http://schemas.openxmlformats.org/officeDocument/2006/relationships/hyperlink" Target="https://www.instagram.com/p/DHbQZH-vAkF/" TargetMode="External"/><Relationship Id="rId80" Type="http://schemas.openxmlformats.org/officeDocument/2006/relationships/hyperlink" Target="https://www.instagram.com/p/DHDr8FMvhuG/" TargetMode="External"/><Relationship Id="rId82" Type="http://schemas.openxmlformats.org/officeDocument/2006/relationships/hyperlink" Target="https://www.instagram.com/p/DGNX7R7qtW3/" TargetMode="External"/><Relationship Id="rId81" Type="http://schemas.openxmlformats.org/officeDocument/2006/relationships/hyperlink" Target="https://www.instagram.com/p/DHvwBMRv-r6/" TargetMode="External"/><Relationship Id="rId1" Type="http://schemas.openxmlformats.org/officeDocument/2006/relationships/hyperlink" Target="https://www.instagram.com/p/DSFIFKpEmJE/" TargetMode="External"/><Relationship Id="rId2" Type="http://schemas.openxmlformats.org/officeDocument/2006/relationships/hyperlink" Target="https://www.instagram.com/p/DWgzWT3krsg/" TargetMode="External"/><Relationship Id="rId3" Type="http://schemas.openxmlformats.org/officeDocument/2006/relationships/hyperlink" Target="https://www.instagram.com/p/DRKVsCKEjL9/" TargetMode="External"/><Relationship Id="rId4" Type="http://schemas.openxmlformats.org/officeDocument/2006/relationships/hyperlink" Target="https://www.instagram.com/p/DWgyRJ5ks-I/" TargetMode="External"/><Relationship Id="rId9" Type="http://schemas.openxmlformats.org/officeDocument/2006/relationships/hyperlink" Target="https://www.instagram.com/p/DNDotBzvyck/" TargetMode="External"/><Relationship Id="rId140" Type="http://schemas.openxmlformats.org/officeDocument/2006/relationships/table" Target="../tables/table4.xml"/><Relationship Id="rId5" Type="http://schemas.openxmlformats.org/officeDocument/2006/relationships/hyperlink" Target="https://www.instagram.com/p/DSsTgwHktZh/" TargetMode="External"/><Relationship Id="rId6" Type="http://schemas.openxmlformats.org/officeDocument/2006/relationships/hyperlink" Target="https://www.instagram.com/p/DWmBus7Et7y/" TargetMode="External"/><Relationship Id="rId7" Type="http://schemas.openxmlformats.org/officeDocument/2006/relationships/hyperlink" Target="https://www.instagram.com/p/DUlLKZVkmno/" TargetMode="External"/><Relationship Id="rId8" Type="http://schemas.openxmlformats.org/officeDocument/2006/relationships/hyperlink" Target="https://www.instagram.com/p/DWmBTRAkoMZ/" TargetMode="External"/><Relationship Id="rId73" Type="http://schemas.openxmlformats.org/officeDocument/2006/relationships/hyperlink" Target="https://www.instagram.com/p/DG3Ck-dvVIv/" TargetMode="External"/><Relationship Id="rId72" Type="http://schemas.openxmlformats.org/officeDocument/2006/relationships/hyperlink" Target="https://www.instagram.com/p/DG3C1qtPD6z/" TargetMode="External"/><Relationship Id="rId75" Type="http://schemas.openxmlformats.org/officeDocument/2006/relationships/hyperlink" Target="https://www.instagram.com/p/DG3CGR8PI8N/" TargetMode="External"/><Relationship Id="rId74" Type="http://schemas.openxmlformats.org/officeDocument/2006/relationships/hyperlink" Target="https://www.instagram.com/p/DG3ET5eKtea/" TargetMode="External"/><Relationship Id="rId77" Type="http://schemas.openxmlformats.org/officeDocument/2006/relationships/hyperlink" Target="https://www.instagram.com/p/DHIWDWrvLmX/" TargetMode="External"/><Relationship Id="rId76" Type="http://schemas.openxmlformats.org/officeDocument/2006/relationships/hyperlink" Target="https://www.instagram.com/p/DB80hwrvSgX/" TargetMode="External"/><Relationship Id="rId79" Type="http://schemas.openxmlformats.org/officeDocument/2006/relationships/hyperlink" Target="https://www.instagram.com/p/C8HtiDrvCMR/" TargetMode="External"/><Relationship Id="rId78" Type="http://schemas.openxmlformats.org/officeDocument/2006/relationships/hyperlink" Target="https://www.instagram.com/p/C3iLcxsvg16/" TargetMode="External"/><Relationship Id="rId71" Type="http://schemas.openxmlformats.org/officeDocument/2006/relationships/hyperlink" Target="https://www.instagram.com/p/DD97JDPPQ-k/" TargetMode="External"/><Relationship Id="rId70" Type="http://schemas.openxmlformats.org/officeDocument/2006/relationships/hyperlink" Target="https://www.instagram.com/p/DCi8Cn_Pi04/" TargetMode="External"/><Relationship Id="rId139" Type="http://schemas.openxmlformats.org/officeDocument/2006/relationships/table" Target="../tables/table3.xml"/><Relationship Id="rId132" Type="http://schemas.openxmlformats.org/officeDocument/2006/relationships/hyperlink" Target="https://www.instagram.com/p/Cj--_cwPfsz/" TargetMode="External"/><Relationship Id="rId131" Type="http://schemas.openxmlformats.org/officeDocument/2006/relationships/hyperlink" Target="https://www.instagram.com/p/CTe_XYxpf_u/" TargetMode="External"/><Relationship Id="rId130" Type="http://schemas.openxmlformats.org/officeDocument/2006/relationships/hyperlink" Target="https://www.instagram.com/p/CT7Xfy2PgU-/" TargetMode="External"/><Relationship Id="rId136" Type="http://schemas.openxmlformats.org/officeDocument/2006/relationships/drawing" Target="../drawings/drawing2.xml"/><Relationship Id="rId135" Type="http://schemas.openxmlformats.org/officeDocument/2006/relationships/hyperlink" Target="https://www.instagram.com/p/CUPl5xxP5_6/" TargetMode="External"/><Relationship Id="rId134" Type="http://schemas.openxmlformats.org/officeDocument/2006/relationships/hyperlink" Target="https://www.instagram.com/p/CVvvSpRKMrY/" TargetMode="External"/><Relationship Id="rId133" Type="http://schemas.openxmlformats.org/officeDocument/2006/relationships/hyperlink" Target="https://www.instagram.com/p/Ca2Dj-7Pgxq/" TargetMode="External"/><Relationship Id="rId62" Type="http://schemas.openxmlformats.org/officeDocument/2006/relationships/hyperlink" Target="https://www.instagram.com/p/DHJBHG6qCHU/" TargetMode="External"/><Relationship Id="rId61" Type="http://schemas.openxmlformats.org/officeDocument/2006/relationships/hyperlink" Target="https://www.instagram.com/p/DHSpY7mvwVh/" TargetMode="External"/><Relationship Id="rId64" Type="http://schemas.openxmlformats.org/officeDocument/2006/relationships/hyperlink" Target="https://www.instagram.com/p/DG5i6LNPM0s/" TargetMode="External"/><Relationship Id="rId63" Type="http://schemas.openxmlformats.org/officeDocument/2006/relationships/hyperlink" Target="https://www.instagram.com/p/DHF_ixmPo0N/" TargetMode="External"/><Relationship Id="rId66" Type="http://schemas.openxmlformats.org/officeDocument/2006/relationships/hyperlink" Target="https://www.instagram.com/p/DHTTRJfvY_Q/" TargetMode="External"/><Relationship Id="rId65" Type="http://schemas.openxmlformats.org/officeDocument/2006/relationships/hyperlink" Target="https://www.instagram.com/p/DHGPG71vCAy/" TargetMode="External"/><Relationship Id="rId68" Type="http://schemas.openxmlformats.org/officeDocument/2006/relationships/hyperlink" Target="https://www.instagram.com/p/DG3DS0zPLbB/" TargetMode="External"/><Relationship Id="rId67" Type="http://schemas.openxmlformats.org/officeDocument/2006/relationships/hyperlink" Target="https://www.instagram.com/p/DHv5S_9PbEC/" TargetMode="External"/><Relationship Id="rId60" Type="http://schemas.openxmlformats.org/officeDocument/2006/relationships/hyperlink" Target="https://www.instagram.com/p/DHGdLIJK25r/" TargetMode="External"/><Relationship Id="rId69" Type="http://schemas.openxmlformats.org/officeDocument/2006/relationships/hyperlink" Target="https://www.instagram.com/p/DFuuI2TvUOa/" TargetMode="External"/><Relationship Id="rId51" Type="http://schemas.openxmlformats.org/officeDocument/2006/relationships/hyperlink" Target="https://www.instagram.com/p/DHxroBHPFtE/" TargetMode="External"/><Relationship Id="rId50" Type="http://schemas.openxmlformats.org/officeDocument/2006/relationships/hyperlink" Target="https://www.instagram.com/p/DHVqJHUPTOW/" TargetMode="External"/><Relationship Id="rId53" Type="http://schemas.openxmlformats.org/officeDocument/2006/relationships/hyperlink" Target="https://www.instagram.com/p/DHa_xXKPual/" TargetMode="External"/><Relationship Id="rId52" Type="http://schemas.openxmlformats.org/officeDocument/2006/relationships/hyperlink" Target="https://www.instagram.com/p/DHV6SjcvwhO/" TargetMode="External"/><Relationship Id="rId55" Type="http://schemas.openxmlformats.org/officeDocument/2006/relationships/hyperlink" Target="https://www.instagram.com/p/DH_ACVNvouK/" TargetMode="External"/><Relationship Id="rId54" Type="http://schemas.openxmlformats.org/officeDocument/2006/relationships/hyperlink" Target="https://www.instagram.com/p/DHVRLcOv8_G/" TargetMode="External"/><Relationship Id="rId57" Type="http://schemas.openxmlformats.org/officeDocument/2006/relationships/hyperlink" Target="https://www.instagram.com/p/DHxYzjTP31g/" TargetMode="External"/><Relationship Id="rId56" Type="http://schemas.openxmlformats.org/officeDocument/2006/relationships/hyperlink" Target="https://www.instagram.com/p/DHbHlkfv3hf/" TargetMode="External"/><Relationship Id="rId59" Type="http://schemas.openxmlformats.org/officeDocument/2006/relationships/hyperlink" Target="https://www.instagram.com/p/DHDrnpQvtAl/" TargetMode="External"/><Relationship Id="rId58" Type="http://schemas.openxmlformats.org/officeDocument/2006/relationships/hyperlink" Target="https://www.instagram.com/p/DHDsUdbvsW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posts/littleredzombies_gds-gamedevsummit-gds2026-activity-7420439657164726272-uBmf?utm_source=combined_share_message&amp;utm_medium=member_desktop&amp;rcm=ACoAADzoKcQBgvVxEtgTp616StYABJvYyT5IbUY" TargetMode="External"/><Relationship Id="rId42" Type="http://schemas.openxmlformats.org/officeDocument/2006/relationships/hyperlink" Target="https://www.linkedin.com/posts/littleredzombies_hiring-humanresources-recruitment-activity-7405260047292825600-dZOV?utm_source=combined_share_message&amp;utm_medium=member_desktop&amp;rcm=ACoAADzoKcQBgvVxEtgTp616StYABJvYyT5IbUY" TargetMode="External"/><Relationship Id="rId41" Type="http://schemas.openxmlformats.org/officeDocument/2006/relationships/hyperlink" Target="https://www.linkedin.com/posts/littleredzombies_christmas-seasonsgreetings-littleredzombies-activity-7409982843533266944-7pV9?utm_source=combined_share_message&amp;utm_medium=member_desktop&amp;rcm=ACoAADzoKcQBgvVxEtgTp616StYABJvYyT5IbUY" TargetMode="External"/><Relationship Id="rId44" Type="http://schemas.openxmlformats.org/officeDocument/2006/relationships/hyperlink" Target="https://www.linkedin.com/posts/littleredzombies_were-hiring-project-coordinator-hyderabad-activity-7458511707896791040-D6Sv?utm_source=combined_share_message&amp;utm_medium=member_desktop&amp;rcm=ACoAAAkSQb0Bsc94sZROmun7Rg4RHsXd8c7GfoA" TargetMode="External"/><Relationship Id="rId43" Type="http://schemas.openxmlformats.org/officeDocument/2006/relationships/hyperlink" Target="https://www.linkedin.com/posts/littleredzombies_thegameawards-thegameawards2025-tga2025-activity-7404469729119170560-7vUY?utm_source=combined_share_message&amp;utm_medium=member_desktop&amp;rcm=ACoAADzoKcQBgvVxEtgTp616StYABJvYyT5IbUY" TargetMode="External"/><Relationship Id="rId46" Type="http://schemas.openxmlformats.org/officeDocument/2006/relationships/hyperlink" Target="https://www.linkedin.com/posts/xds-spark_character-work-at-this-level-shapes-the-final-ugcPost-7454921593027420160-Lyek?utm_source=combined_share_message&amp;utm_medium=member_desktop&amp;rcm=ACoAAAkSQb0Bsc94sZROmun7Rg4RHsXd8c7GfoA" TargetMode="External"/><Relationship Id="rId45" Type="http://schemas.openxmlformats.org/officeDocument/2006/relationships/hyperlink" Target="https://www.linkedin.com/posts/xds-spark_huge-congrats-to-the-xds-spark-members-who-ugcPost-7457849100961726464-kEvH?utm_source=combined_share_message&amp;utm_medium=member_desktop&amp;rcm=ACoAAAkSQb0Bsc94sZROmun7Rg4RHsXd8c7GfoA" TargetMode="External"/><Relationship Id="rId48" Type="http://schemas.openxmlformats.org/officeDocument/2006/relationships/hyperlink" Target="https://www.linkedin.com/posts/littleredzombies_celebrating-our-latest-platinum-partners-activity-7448055287036497920-5Orl?utm_source=combined_share_message&amp;utm_medium=member_desktop&amp;rcm=ACoAAAkSQb0Bsc94sZROmun7Rg4RHsXd8c7GfoA" TargetMode="External"/><Relationship Id="rId47" Type="http://schemas.openxmlformats.org/officeDocument/2006/relationships/hyperlink" Target="https://www.linkedin.com/posts/littleredzombies_were-hiring-it-specialist-network-activity-7448365478084771840-ou11?utm_source=combined_share_message&amp;utm_medium=member_desktop&amp;rcm=ACoAAAkSQb0Bsc94sZROmun7Rg4RHsXd8c7GfoA" TargetMode="External"/><Relationship Id="rId49" Type="http://schemas.openxmlformats.org/officeDocument/2006/relationships/hyperlink" Target="https://www.linkedin.com/posts/littleredzombies_xds2026-externaldevelopment-gamedev-activity-7445340519565770752-jWSK?utm_source=combined_share_message&amp;utm_medium=member_desktop&amp;rcm=ACoAAAkSQb0Bsc94sZROmun7Rg4RHsXd8c7GfoA" TargetMode="External"/><Relationship Id="rId31" Type="http://schemas.openxmlformats.org/officeDocument/2006/relationships/hyperlink" Target="https://www.linkedin.com/posts/littleredzombies_from-all-of-us-at-little-red-zombies-wishing-activity-7384957275121307648-FlXE?utm_source=combined_share_message&amp;utm_medium=member_desktop&amp;rcm=ACoAAFce_nsBbiRtt68DTPlmsCV_Z5I7to81vX8" TargetMode="External"/><Relationship Id="rId30" Type="http://schemas.openxmlformats.org/officeDocument/2006/relationships/hyperlink" Target="https://www.linkedin.com/posts/littleredzombies_littleredzombies-lrz-halloween-activity-7390408528647184384-Ra7S?utm_source=combined_share_message&amp;utm_medium=member_desktop&amp;rcm=ACoAAFce_nsBbiRtt68DTPlmsCV_Z5I7to81vX8" TargetMode="External"/><Relationship Id="rId33" Type="http://schemas.openxmlformats.org/officeDocument/2006/relationships/hyperlink" Target="https://www.linkedin.com/posts/littleredzombies_tgs-tgs2025-tokyogameshow-activity-7377333403899088897-2Amy?utm_source=combined_share_message&amp;utm_medium=member_desktop&amp;rcm=ACoAAFce_nsBbiRtt68DTPlmsCV_Z5I7to81vX8" TargetMode="External"/><Relationship Id="rId32" Type="http://schemas.openxmlformats.org/officeDocument/2006/relationships/hyperlink" Target="https://www.linkedin.com/posts/littleredzombies_were-proud-to-spotlight-little-red-zombies-activity-7384829687950135296-8kL_?utm_source=combined_share_message&amp;utm_medium=member_desktop&amp;rcm=ACoAAFce_nsBbiRtt68DTPlmsCV_Z5I7to81vX8" TargetMode="External"/><Relationship Id="rId35" Type="http://schemas.openxmlformats.org/officeDocument/2006/relationships/hyperlink" Target="https://www.linkedin.com/posts/littleredzombies_were-excited-to-share-that-little-red-zombies-activity-7439180119367163904-PoOX?utm_source=combined_share_message&amp;utm_medium=member_desktop&amp;rcm=ACoAADzoKcQBgvVxEtgTp616StYABJvYyT5IbUY" TargetMode="External"/><Relationship Id="rId34" Type="http://schemas.openxmlformats.org/officeDocument/2006/relationships/hyperlink" Target="https://www.linkedin.com/posts/littleredzombies_hiring-facilitymanagement-operations-activity-7439648897771229187-1ekl?utm_source=combined_share_message&amp;utm_medium=member_desktop&amp;rcm=ACoAADzoKcQBgvVxEtgTp616StYABJvYyT5IbUY" TargetMode="External"/><Relationship Id="rId37" Type="http://schemas.openxmlformats.org/officeDocument/2006/relationships/hyperlink" Target="https://www.linkedin.com/posts/littleredzombies_were-hiring-technical-animator-on-activity-7427366358344007680-lqWt?utm_source=combined_share_message&amp;utm_medium=member_desktop&amp;rcm=ACoAADzoKcQBgvVxEtgTp616StYABJvYyT5IbUY" TargetMode="External"/><Relationship Id="rId36" Type="http://schemas.openxmlformats.org/officeDocument/2006/relationships/hyperlink" Target="https://www.linkedin.com/posts/littleredzombies_were-hiring-hr-associate-on-site-activity-7429167291441008640-xjx2?utm_source=combined_share_message&amp;utm_medium=member_desktop&amp;rcm=ACoAADzoKcQBgvVxEtgTp616StYABJvYyT5IbUY" TargetMode="External"/><Relationship Id="rId39" Type="http://schemas.openxmlformats.org/officeDocument/2006/relationships/hyperlink" Target="https://www.linkedin.com/posts/littleredzombies_the-outer-worlds-2-hair-activity-7425472333852749824-SQWn?utm_source=combined_share_message&amp;utm_medium=member_desktop&amp;rcm=ACoAADzoKcQBgvVxEtgTp616StYABJvYyT5IbUY" TargetMode="External"/><Relationship Id="rId38" Type="http://schemas.openxmlformats.org/officeDocument/2006/relationships/hyperlink" Target="https://www.linkedin.com/posts/littleredzombies_gds-gamedevsummit-gds2026-activity-7426981188956856320-nkV7?utm_source=combined_share_message&amp;utm_medium=member_desktop&amp;rcm=ACoAADzoKcQBgvVxEtgTp616StYABJvYyT5IbUY" TargetMode="External"/><Relationship Id="rId20" Type="http://schemas.openxmlformats.org/officeDocument/2006/relationships/hyperlink" Target="https://www.linkedin.com/posts/littleredzombies_pax-dei-blacksmith-activity-7364274316663795712-4NQr?utm_source=combined_share_message&amp;utm_medium=member_desktop&amp;rcm=ACoAAFce_nsBbiRtt68DTPlmsCV_Z5I7to81vX8" TargetMode="External"/><Relationship Id="rId22" Type="http://schemas.openxmlformats.org/officeDocument/2006/relationships/hyperlink" Target="https://www.linkedin.com/posts/littleredzombies_pax-dei-medieval-armor-tabard-activity-7364272247403917313-is6O?utm_source=combined_share_message&amp;utm_medium=member_desktop&amp;rcm=ACoAAFce_nsBbiRtt68DTPlmsCV_Z5I7to81vX8" TargetMode="External"/><Relationship Id="rId21" Type="http://schemas.openxmlformats.org/officeDocument/2006/relationships/hyperlink" Target="https://www.linkedin.com/posts/littleredzombies_pax-dei-doublet-leather-armor-activity-7364273896230957056-LtJC?utm_source=combined_share_message&amp;utm_medium=member_desktop&amp;rcm=ACoAAFce_nsBbiRtt68DTPlmsCV_Z5I7to81vX8" TargetMode="External"/><Relationship Id="rId24" Type="http://schemas.openxmlformats.org/officeDocument/2006/relationships/hyperlink" Target="https://www.linkedin.com/posts/littleredzombies_gamedev-analytics-hiring-activity-7403807110196621312-jqKx?utm_source=combined_share_message&amp;utm_medium=member_desktop&amp;rcm=ACoAAFce_nsBbiRtt68DTPlmsCV_Z5I7to81vX8" TargetMode="External"/><Relationship Id="rId23" Type="http://schemas.openxmlformats.org/officeDocument/2006/relationships/hyperlink" Target="https://www.linkedin.com/posts/littleredzombies_split-fiction-ice-king-fur-activity-7359206563145764864-eG6U?utm_source=combined_share_message&amp;utm_medium=member_desktop&amp;rcm=ACoAAFce_nsBbiRtt68DTPlmsCV_Z5I7to81vX8" TargetMode="External"/><Relationship Id="rId26" Type="http://schemas.openxmlformats.org/officeDocument/2006/relationships/hyperlink" Target="https://www.linkedin.com/posts/littleredzombies_call-of-duty-black-ops-7-has-landed-discover-activity-7397143995300143104-NnA8?utm_source=combined_share_message&amp;utm_medium=member_desktop&amp;rcm=ACoAAFce_nsBbiRtt68DTPlmsCV_Z5I7to81vX8" TargetMode="External"/><Relationship Id="rId25" Type="http://schemas.openxmlformats.org/officeDocument/2006/relationships/hyperlink" Target="https://www.linkedin.com/posts/littleredzombies_migs2025-migs-gameart-activity-7399773441941409792-ul1g?utm_source=combined_share_message&amp;utm_medium=member_desktop&amp;rcm=ACoAAFce_nsBbiRtt68DTPlmsCV_Z5I7to81vX8" TargetMode="External"/><Relationship Id="rId28" Type="http://schemas.openxmlformats.org/officeDocument/2006/relationships/hyperlink" Target="https://www.linkedin.com/posts/littleredzombies_the-outer-worlds-2-has-landed-discover-activity-7391757190388314112-wprO?utm_source=combined_share_message&amp;utm_medium=member_desktop&amp;rcm=ACoAAFce_nsBbiRtt68DTPlmsCV_Z5I7to81vX8" TargetMode="External"/><Relationship Id="rId27" Type="http://schemas.openxmlformats.org/officeDocument/2006/relationships/hyperlink" Target="https://www.linkedin.com/posts/littleredzombies_callofduty-callofdutyblackops-callofdutyblackops7-activity-7396191181174444032-0KLd?utm_source=combined_share_message&amp;utm_medium=member_desktop&amp;rcm=ACoAAFce_nsBbiRtt68DTPlmsCV_Z5I7to81vX8" TargetMode="External"/><Relationship Id="rId29" Type="http://schemas.openxmlformats.org/officeDocument/2006/relationships/hyperlink" Target="https://www.linkedin.com/posts/littleredzombies_migs-migs25-migs2025-activity-7391423416345493504-8MFQ?utm_source=combined_share_message&amp;utm_medium=member_desktop&amp;rcm=ACoAAFce_nsBbiRtt68DTPlmsCV_Z5I7to81vX8" TargetMode="External"/><Relationship Id="rId11" Type="http://schemas.openxmlformats.org/officeDocument/2006/relationships/hyperlink" Target="https://www.linkedin.com/posts/littleredzombies_split-fiction-zoe-the-fairy-hair-activity-7356671351224496130-cRrm?utm_source=combined_share_message&amp;utm_medium=member_desktop&amp;rcm=ACoAAGNYwmMBHH05CVFu0KpJR4gGCaJ72HAoAEU" TargetMode="External"/><Relationship Id="rId10" Type="http://schemas.openxmlformats.org/officeDocument/2006/relationships/hyperlink" Target="https://www.linkedin.com/posts/littleredzombies_split-fiction-mio-hair-activity-7356673400955703296-eIMk?utm_source=combined_share_message&amp;utm_medium=member_desktop&amp;rcm=ACoAAGNYwmMBHH05CVFu0KpJR4gGCaJ72HAoAEU" TargetMode="External"/><Relationship Id="rId13" Type="http://schemas.openxmlformats.org/officeDocument/2006/relationships/hyperlink" Target="https://www.linkedin.com/posts/littleredzombies_alan-wake-ii-the-lake-house-fbc-hazmat-activity-7354043731521531905-WFHv?utm_source=combined_share_message&amp;utm_medium=member_desktop&amp;rcm=ACoAAGNYwmMBHH05CVFu0KpJR4gGCaJ72HAoAEU" TargetMode="External"/><Relationship Id="rId12" Type="http://schemas.openxmlformats.org/officeDocument/2006/relationships/hyperlink" Target="https://www.linkedin.com/posts/littleredzombies_alan-wake-ii-the-lake-house-dr-diana-activity-7354444215558311936-syWg?utm_source=combined_share_message&amp;utm_medium=member_desktop&amp;rcm=ACoAAGNYwmMBHH05CVFu0KpJR4gGCaJ72HAoAEU" TargetMode="External"/><Relationship Id="rId15" Type="http://schemas.openxmlformats.org/officeDocument/2006/relationships/hyperlink" Target="https://www.linkedin.com/posts/littleredzombies_gameart-3dart-characterart-activity-7371536687539281921--1C4?utm_source=combined_share_message&amp;utm_medium=member_desktop&amp;rcm=ACoAAFce_nsBbiRtt68DTPlmsCV_Z5I7to81vX8" TargetMode="External"/><Relationship Id="rId14" Type="http://schemas.openxmlformats.org/officeDocument/2006/relationships/hyperlink" Target="https://www.linkedin.com/posts/littleredzombies_tgs-tokyogameshow-tgs2025-activity-7373698137548500993-gNee?utm_source=combined_share_message&amp;utm_medium=member_desktop&amp;rcm=ACoAAFce_nsBbiRtt68DTPlmsCV_Z5I7to81vX8" TargetMode="External"/><Relationship Id="rId17" Type="http://schemas.openxmlformats.org/officeDocument/2006/relationships/hyperlink" Target="https://www.linkedin.com/posts/littleredzombies_xds-xds2025-gamedev-activity-7370806403491536896-6QdO?utm_source=combined_share_message&amp;utm_medium=member_desktop&amp;rcm=ACoAAFce_nsBbiRtt68DTPlmsCV_Z5I7to81vX8" TargetMode="External"/><Relationship Id="rId16" Type="http://schemas.openxmlformats.org/officeDocument/2006/relationships/hyperlink" Target="https://www.linkedin.com/posts/littleredzombies_gameart-3dart-characterart-activity-7371177157705916416-I8A8?utm_source=combined_share_message&amp;utm_medium=member_desktop&amp;rcm=ACoAAFce_nsBbiRtt68DTPlmsCV_Z5I7to81vX8" TargetMode="External"/><Relationship Id="rId19" Type="http://schemas.openxmlformats.org/officeDocument/2006/relationships/hyperlink" Target="https://www.linkedin.com/posts/littleredzombies_xds-xds2025-externaldevelopmentsummit-activity-7366003457884868609-ZncY?utm_source=combined_share_message&amp;utm_medium=member_desktop&amp;rcm=ACoAAFce_nsBbiRtt68DTPlmsCV_Z5I7to81vX8" TargetMode="External"/><Relationship Id="rId18" Type="http://schemas.openxmlformats.org/officeDocument/2006/relationships/hyperlink" Target="https://www.linkedin.com/posts/littleredzombies_were-hiring-project-managers-little-activity-7367794031113793536-4C3-?utm_source=combined_share_message&amp;utm_medium=member_desktop&amp;rcm=ACoAAFce_nsBbiRtt68DTPlmsCV_Z5I7to81vX8" TargetMode="External"/><Relationship Id="rId1" Type="http://schemas.openxmlformats.org/officeDocument/2006/relationships/hyperlink" Target="https://www.linkedin.com/posts/littleredzombies_alan-wake-ii-the-lake-house-fbc-scientist-activity-7354041867782533120-DnI5?utm_source=combined_share_message&amp;utm_medium=member_desktop&amp;rcm=ACoAACeKeD0BuF80SqXQzZ7zQPkO3myaeSLGXW4" TargetMode="External"/><Relationship Id="rId2" Type="http://schemas.openxmlformats.org/officeDocument/2006/relationships/hyperlink" Target="https://www.linkedin.com/posts/littleredzombies_littleredzombies-ghosttownvr-fireproofstudios-activity-7351609223690059779-mawJ?utm_source=combined_share_message&amp;utm_medium=member_desktop&amp;rcm=ACoAACeKeD0BuF80SqXQzZ7zQPkO3myaeSLGXW4" TargetMode="External"/><Relationship Id="rId3" Type="http://schemas.openxmlformats.org/officeDocument/2006/relationships/hyperlink" Target="https://www.linkedin.com/posts/littleredzombies_xds2025-xds-externaldevelopmentsummit-activity-7350848914595475456-tdWe?utm_source=combined_share_message&amp;utm_medium=member_desktop&amp;rcm=ACoAACeKeD0BuF80SqXQzZ7zQPkO3myaeSLGXW4" TargetMode="External"/><Relationship Id="rId4" Type="http://schemas.openxmlformats.org/officeDocument/2006/relationships/hyperlink" Target="https://www.linkedin.com/posts/littleredzombies_split-fiction-playable-story-characters-activity-7359205919697637376-Q91u?utm_source=combined_share_message&amp;utm_medium=member_desktop&amp;rcm=ACoAAGNYwmMBHH05CVFu0KpJR4gGCaJ72HAoAEU" TargetMode="External"/><Relationship Id="rId9" Type="http://schemas.openxmlformats.org/officeDocument/2006/relationships/hyperlink" Target="https://www.linkedin.com/posts/littleredzombies_split-fiction-rader-hair-activity-7356677461302005760-RwHQ?utm_source=combined_share_message&amp;utm_medium=member_desktop&amp;rcm=ACoAAGNYwmMBHH05CVFu0KpJR4gGCaJ72HAoAEU" TargetMode="External"/><Relationship Id="rId5" Type="http://schemas.openxmlformats.org/officeDocument/2006/relationships/hyperlink" Target="https://www.linkedin.com/posts/littleredzombies_split-fiction-fauna-activity-7359204511673958400-k_Eb?utm_source=combined_share_message&amp;utm_medium=member_desktop&amp;rcm=ACoAAGNYwmMBHH05CVFu0KpJR4gGCaJ72HAoAEU" TargetMode="External"/><Relationship Id="rId6" Type="http://schemas.openxmlformats.org/officeDocument/2006/relationships/hyperlink" Target="https://www.linkedin.com/posts/littleredzombies_split-fiction-fauna-activity-7359204048111067136-2zV9?utm_source=combined_share_message&amp;utm_medium=member_desktop&amp;rcm=ACoAAGNYwmMBHH05CVFu0KpJR4gGCaJ72HAoAEU" TargetMode="External"/><Relationship Id="rId7" Type="http://schemas.openxmlformats.org/officeDocument/2006/relationships/hyperlink" Target="https://www.linkedin.com/posts/littleredzombies_split-fiction-story-characters-hair-activity-7356994100388093954-SsvH?utm_source=combined_share_message&amp;utm_medium=member_desktop&amp;rcm=ACoAAGNYwmMBHH05CVFu0KpJR4gGCaJ72HAoAEU" TargetMode="External"/><Relationship Id="rId8" Type="http://schemas.openxmlformats.org/officeDocument/2006/relationships/hyperlink" Target="https://www.linkedin.com/posts/littleredzombies_split-fiction-story-characters-hair-activity-7356993617762111488-Wiz8?utm_source=combined_share_message&amp;utm_medium=member_desktop&amp;rcm=ACoAAGNYwmMBHH05CVFu0KpJR4gGCaJ72HAoAEU" TargetMode="External"/><Relationship Id="rId51" Type="http://schemas.openxmlformats.org/officeDocument/2006/relationships/hyperlink" Target="https://www.linkedin.com/posts/littleredzombies_avowed-creatures-activity-7444683519798288384-yTYK?utm_source=combined_share_message&amp;utm_medium=member_desktop&amp;rcm=ACoAAAkSQb0Bsc94sZROmun7Rg4RHsXd8c7GfoA" TargetMode="External"/><Relationship Id="rId50" Type="http://schemas.openxmlformats.org/officeDocument/2006/relationships/hyperlink" Target="https://www.linkedin.com/posts/littleredzombies_avowed-fauna-activity-7444685096575578112-SPlf?utm_source=combined_share_message&amp;utm_medium=member_desktop&amp;rcm=ACoAAAkSQb0Bsc94sZROmun7Rg4RHsXd8c7GfoA" TargetMode="External"/><Relationship Id="rId53" Type="http://schemas.openxmlformats.org/officeDocument/2006/relationships/hyperlink" Target="https://www.linkedin.com/posts/littleredzombies_were-hiring-visual-designer-on-site-activity-7443307875554476032-xjAh?utm_source=combined_share_message&amp;utm_medium=member_desktop&amp;rcm=ACoAAAkSQb0Bsc94sZROmun7Rg4RHsXd8c7GfoA" TargetMode="External"/><Relationship Id="rId52" Type="http://schemas.openxmlformats.org/officeDocument/2006/relationships/hyperlink" Target="https://www.linkedin.com/posts/littleredzombies_avowed-hair-contribution-activity-7444321014265757696-wJrb?utm_source=combined_share_message&amp;utm_medium=member_desktop&amp;rcm=ACoAAAkSQb0Bsc94sZROmun7Rg4RHsXd8c7GfoA" TargetMode="External"/><Relationship Id="rId54" Type="http://schemas.openxmlformats.org/officeDocument/2006/relationships/drawing" Target="../drawings/drawing3.xml"/><Relationship Id="rId56" Type="http://schemas.openxmlformats.org/officeDocument/2006/relationships/table" Target="../tables/table5.xml"/></Relationships>
</file>

<file path=xl/worksheets/_rels/sheet4.xml.rels><?xml version="1.0" encoding="UTF-8" standalone="yes"?><Relationships xmlns="http://schemas.openxmlformats.org/package/2006/relationships"><Relationship Id="rId40" Type="http://schemas.openxmlformats.org/officeDocument/2006/relationships/hyperlink" Target="https://twitter.com/LittleRedZombie/status/1739211500571726257" TargetMode="External"/><Relationship Id="rId190" Type="http://schemas.openxmlformats.org/officeDocument/2006/relationships/hyperlink" Target="https://twitter.com/LittleRedZombie/status/1738208448838545565" TargetMode="External"/><Relationship Id="rId42" Type="http://schemas.openxmlformats.org/officeDocument/2006/relationships/hyperlink" Target="https://twitter.com/LittleRedZombie/status/1738767116055007429" TargetMode="External"/><Relationship Id="rId41" Type="http://schemas.openxmlformats.org/officeDocument/2006/relationships/hyperlink" Target="https://x.com/LittleRedZombie/status/1738767116055007429" TargetMode="External"/><Relationship Id="rId44" Type="http://schemas.openxmlformats.org/officeDocument/2006/relationships/hyperlink" Target="https://twitter.com/LittleRedZombie/status/1738473331702268151" TargetMode="External"/><Relationship Id="rId194" Type="http://schemas.openxmlformats.org/officeDocument/2006/relationships/hyperlink" Target="https://twitter.com/LittleRedZombie/status/1730586803181130164" TargetMode="External"/><Relationship Id="rId43" Type="http://schemas.openxmlformats.org/officeDocument/2006/relationships/hyperlink" Target="https://x.com/LittleRedZombie/status/1738473331702268151" TargetMode="External"/><Relationship Id="rId193" Type="http://schemas.openxmlformats.org/officeDocument/2006/relationships/hyperlink" Target="https://x.com/LittleRedZombie/status/1730586803181130164" TargetMode="External"/><Relationship Id="rId46" Type="http://schemas.openxmlformats.org/officeDocument/2006/relationships/hyperlink" Target="https://twitter.com/LittleRedZombie/status/1738208448838545565" TargetMode="External"/><Relationship Id="rId192" Type="http://schemas.openxmlformats.org/officeDocument/2006/relationships/hyperlink" Target="https://twitter.com/LittleRedZombie/status/1735164879970209900" TargetMode="External"/><Relationship Id="rId45" Type="http://schemas.openxmlformats.org/officeDocument/2006/relationships/hyperlink" Target="https://x.com/LittleRedZombie/status/1738208448838545565" TargetMode="External"/><Relationship Id="rId191" Type="http://schemas.openxmlformats.org/officeDocument/2006/relationships/hyperlink" Target="https://x.com/LittleRedZombie/status/1735164879970209900" TargetMode="External"/><Relationship Id="rId48" Type="http://schemas.openxmlformats.org/officeDocument/2006/relationships/hyperlink" Target="https://twitter.com/LittleRedZombie/status/1735164879970209900" TargetMode="External"/><Relationship Id="rId187" Type="http://schemas.openxmlformats.org/officeDocument/2006/relationships/hyperlink" Target="https://x.com/LittleRedZombie/status/1738473331702268151" TargetMode="External"/><Relationship Id="rId47" Type="http://schemas.openxmlformats.org/officeDocument/2006/relationships/hyperlink" Target="https://x.com/LittleRedZombie/status/1735164879970209900" TargetMode="External"/><Relationship Id="rId186" Type="http://schemas.openxmlformats.org/officeDocument/2006/relationships/hyperlink" Target="https://twitter.com/LittleRedZombie/status/1738767116055007429" TargetMode="External"/><Relationship Id="rId185" Type="http://schemas.openxmlformats.org/officeDocument/2006/relationships/hyperlink" Target="https://x.com/LittleRedZombie/status/1738767116055007429" TargetMode="External"/><Relationship Id="rId49" Type="http://schemas.openxmlformats.org/officeDocument/2006/relationships/hyperlink" Target="https://x.com/LittleRedZombie/status/1730586803181130164" TargetMode="External"/><Relationship Id="rId184" Type="http://schemas.openxmlformats.org/officeDocument/2006/relationships/hyperlink" Target="https://twitter.com/LittleRedZombie/status/1739211500571726257" TargetMode="External"/><Relationship Id="rId189" Type="http://schemas.openxmlformats.org/officeDocument/2006/relationships/hyperlink" Target="https://x.com/LittleRedZombie/status/1738208448838545565" TargetMode="External"/><Relationship Id="rId188" Type="http://schemas.openxmlformats.org/officeDocument/2006/relationships/hyperlink" Target="https://twitter.com/LittleRedZombie/status/1738473331702268151" TargetMode="External"/><Relationship Id="rId31" Type="http://schemas.openxmlformats.org/officeDocument/2006/relationships/hyperlink" Target="https://x.com/LittleRedZombie/status/1730586803181130164" TargetMode="External"/><Relationship Id="rId30" Type="http://schemas.openxmlformats.org/officeDocument/2006/relationships/hyperlink" Target="https://twitter.com/LittleRedZombie/status/1735164879970209900" TargetMode="External"/><Relationship Id="rId33" Type="http://schemas.openxmlformats.org/officeDocument/2006/relationships/hyperlink" Target="https://x.com/LittleRedZombie/status/1730583268758851828" TargetMode="External"/><Relationship Id="rId183" Type="http://schemas.openxmlformats.org/officeDocument/2006/relationships/hyperlink" Target="https://x.com/LittleRedZombie/status/1739211500571726257" TargetMode="External"/><Relationship Id="rId32" Type="http://schemas.openxmlformats.org/officeDocument/2006/relationships/hyperlink" Target="https://twitter.com/LittleRedZombie/status/1730586803181130164" TargetMode="External"/><Relationship Id="rId182" Type="http://schemas.openxmlformats.org/officeDocument/2006/relationships/hyperlink" Target="https://twitter.com/LittleRedZombie/status/1752692581329441185" TargetMode="External"/><Relationship Id="rId35" Type="http://schemas.openxmlformats.org/officeDocument/2006/relationships/hyperlink" Target="https://x.com/LittleRedZombie/status/1730150536781897761" TargetMode="External"/><Relationship Id="rId181" Type="http://schemas.openxmlformats.org/officeDocument/2006/relationships/hyperlink" Target="https://x.com/LittleRedZombie/status/1752692581329441185" TargetMode="External"/><Relationship Id="rId34" Type="http://schemas.openxmlformats.org/officeDocument/2006/relationships/hyperlink" Target="https://twitter.com/LittleRedZombie/status/1730583268758851828" TargetMode="External"/><Relationship Id="rId180" Type="http://schemas.openxmlformats.org/officeDocument/2006/relationships/hyperlink" Target="https://twitter.com/LittleRedZombie/status/1730150536781897761" TargetMode="External"/><Relationship Id="rId37" Type="http://schemas.openxmlformats.org/officeDocument/2006/relationships/hyperlink" Target="https://x.com/LittleRedZombie/status/1752692581329441185" TargetMode="External"/><Relationship Id="rId176" Type="http://schemas.openxmlformats.org/officeDocument/2006/relationships/hyperlink" Target="https://twitter.com/LittleRedZombie/status/1730586803181130164" TargetMode="External"/><Relationship Id="rId297" Type="http://schemas.openxmlformats.org/officeDocument/2006/relationships/hyperlink" Target="https://x.com/LittleRedZombie/status/1738208448838545565" TargetMode="External"/><Relationship Id="rId36" Type="http://schemas.openxmlformats.org/officeDocument/2006/relationships/hyperlink" Target="https://twitter.com/LittleRedZombie/status/1730150536781897761" TargetMode="External"/><Relationship Id="rId175" Type="http://schemas.openxmlformats.org/officeDocument/2006/relationships/hyperlink" Target="https://x.com/LittleRedZombie/status/1730586803181130164" TargetMode="External"/><Relationship Id="rId296" Type="http://schemas.openxmlformats.org/officeDocument/2006/relationships/hyperlink" Target="https://twitter.com/LittleRedZombie/status/1738473331702268151" TargetMode="External"/><Relationship Id="rId39" Type="http://schemas.openxmlformats.org/officeDocument/2006/relationships/hyperlink" Target="https://x.com/LittleRedZombie/status/1739211500571726257" TargetMode="External"/><Relationship Id="rId174" Type="http://schemas.openxmlformats.org/officeDocument/2006/relationships/hyperlink" Target="https://twitter.com/LittleRedZombie/status/1735164879970209900" TargetMode="External"/><Relationship Id="rId295" Type="http://schemas.openxmlformats.org/officeDocument/2006/relationships/hyperlink" Target="https://x.com/LittleRedZombie/status/1738473331702268151" TargetMode="External"/><Relationship Id="rId38" Type="http://schemas.openxmlformats.org/officeDocument/2006/relationships/hyperlink" Target="https://twitter.com/LittleRedZombie/status/1752692581329441185" TargetMode="External"/><Relationship Id="rId173" Type="http://schemas.openxmlformats.org/officeDocument/2006/relationships/hyperlink" Target="https://x.com/LittleRedZombie/status/1735164879970209900" TargetMode="External"/><Relationship Id="rId294" Type="http://schemas.openxmlformats.org/officeDocument/2006/relationships/hyperlink" Target="https://twitter.com/LittleRedZombie/status/1738767116055007429" TargetMode="External"/><Relationship Id="rId179" Type="http://schemas.openxmlformats.org/officeDocument/2006/relationships/hyperlink" Target="https://x.com/LittleRedZombie/status/1730150536781897761" TargetMode="External"/><Relationship Id="rId178" Type="http://schemas.openxmlformats.org/officeDocument/2006/relationships/hyperlink" Target="https://twitter.com/LittleRedZombie/status/1730583268758851828" TargetMode="External"/><Relationship Id="rId299" Type="http://schemas.openxmlformats.org/officeDocument/2006/relationships/hyperlink" Target="https://x.com/LittleRedZombie/status/1735164879970209900" TargetMode="External"/><Relationship Id="rId177" Type="http://schemas.openxmlformats.org/officeDocument/2006/relationships/hyperlink" Target="https://x.com/LittleRedZombie/status/1730583268758851828" TargetMode="External"/><Relationship Id="rId298" Type="http://schemas.openxmlformats.org/officeDocument/2006/relationships/hyperlink" Target="https://twitter.com/LittleRedZombie/status/1738208448838545565" TargetMode="External"/><Relationship Id="rId20" Type="http://schemas.openxmlformats.org/officeDocument/2006/relationships/hyperlink" Target="https://twitter.com/LittleRedZombie/status/1752692581329441185" TargetMode="External"/><Relationship Id="rId22" Type="http://schemas.openxmlformats.org/officeDocument/2006/relationships/hyperlink" Target="https://twitter.com/LittleRedZombie/status/1739211500571726257" TargetMode="External"/><Relationship Id="rId21" Type="http://schemas.openxmlformats.org/officeDocument/2006/relationships/hyperlink" Target="https://x.com/LittleRedZombie/status/1739211500571726257" TargetMode="External"/><Relationship Id="rId24" Type="http://schemas.openxmlformats.org/officeDocument/2006/relationships/hyperlink" Target="https://twitter.com/LittleRedZombie/status/1738767116055007429" TargetMode="External"/><Relationship Id="rId23" Type="http://schemas.openxmlformats.org/officeDocument/2006/relationships/hyperlink" Target="https://x.com/LittleRedZombie/status/1738767116055007429" TargetMode="External"/><Relationship Id="rId26" Type="http://schemas.openxmlformats.org/officeDocument/2006/relationships/hyperlink" Target="https://twitter.com/LittleRedZombie/status/1738473331702268151" TargetMode="External"/><Relationship Id="rId25" Type="http://schemas.openxmlformats.org/officeDocument/2006/relationships/hyperlink" Target="https://x.com/LittleRedZombie/status/1738473331702268151" TargetMode="External"/><Relationship Id="rId28" Type="http://schemas.openxmlformats.org/officeDocument/2006/relationships/hyperlink" Target="https://twitter.com/LittleRedZombie/status/1738208448838545565" TargetMode="External"/><Relationship Id="rId27" Type="http://schemas.openxmlformats.org/officeDocument/2006/relationships/hyperlink" Target="https://x.com/LittleRedZombie/status/1738208448838545565" TargetMode="External"/><Relationship Id="rId29" Type="http://schemas.openxmlformats.org/officeDocument/2006/relationships/hyperlink" Target="https://x.com/LittleRedZombie/status/1735164879970209900" TargetMode="External"/><Relationship Id="rId11" Type="http://schemas.openxmlformats.org/officeDocument/2006/relationships/hyperlink" Target="https://x.com/LittleRedZombie/status/1735164879970209900" TargetMode="External"/><Relationship Id="rId10" Type="http://schemas.openxmlformats.org/officeDocument/2006/relationships/hyperlink" Target="https://twitter.com/LittleRedZombie/status/1738208448838545565" TargetMode="External"/><Relationship Id="rId13" Type="http://schemas.openxmlformats.org/officeDocument/2006/relationships/hyperlink" Target="https://x.com/LittleRedZombie/status/1730586803181130164" TargetMode="External"/><Relationship Id="rId12" Type="http://schemas.openxmlformats.org/officeDocument/2006/relationships/hyperlink" Target="https://twitter.com/LittleRedZombie/status/1735164879970209900" TargetMode="External"/><Relationship Id="rId15" Type="http://schemas.openxmlformats.org/officeDocument/2006/relationships/hyperlink" Target="https://x.com/LittleRedZombie/status/1730583268758851828" TargetMode="External"/><Relationship Id="rId198" Type="http://schemas.openxmlformats.org/officeDocument/2006/relationships/hyperlink" Target="https://twitter.com/LittleRedZombie/status/1730150536781897761" TargetMode="External"/><Relationship Id="rId14" Type="http://schemas.openxmlformats.org/officeDocument/2006/relationships/hyperlink" Target="https://twitter.com/LittleRedZombie/status/1730586803181130164" TargetMode="External"/><Relationship Id="rId197" Type="http://schemas.openxmlformats.org/officeDocument/2006/relationships/hyperlink" Target="https://x.com/LittleRedZombie/status/1730150536781897761" TargetMode="External"/><Relationship Id="rId17" Type="http://schemas.openxmlformats.org/officeDocument/2006/relationships/hyperlink" Target="https://x.com/LittleRedZombie/status/1730150536781897761" TargetMode="External"/><Relationship Id="rId196" Type="http://schemas.openxmlformats.org/officeDocument/2006/relationships/hyperlink" Target="https://twitter.com/LittleRedZombie/status/1730583268758851828" TargetMode="External"/><Relationship Id="rId16" Type="http://schemas.openxmlformats.org/officeDocument/2006/relationships/hyperlink" Target="https://twitter.com/LittleRedZombie/status/1730583268758851828" TargetMode="External"/><Relationship Id="rId195" Type="http://schemas.openxmlformats.org/officeDocument/2006/relationships/hyperlink" Target="https://x.com/LittleRedZombie/status/1730583268758851828" TargetMode="External"/><Relationship Id="rId19" Type="http://schemas.openxmlformats.org/officeDocument/2006/relationships/hyperlink" Target="https://x.com/LittleRedZombie/status/1752692581329441185" TargetMode="External"/><Relationship Id="rId18" Type="http://schemas.openxmlformats.org/officeDocument/2006/relationships/hyperlink" Target="https://twitter.com/LittleRedZombie/status/1730150536781897761" TargetMode="External"/><Relationship Id="rId199" Type="http://schemas.openxmlformats.org/officeDocument/2006/relationships/hyperlink" Target="https://x.com/LittleRedZombie/status/1752692581329441185" TargetMode="External"/><Relationship Id="rId84" Type="http://schemas.openxmlformats.org/officeDocument/2006/relationships/hyperlink" Target="https://twitter.com/LittleRedZombie/status/1735164879970209900" TargetMode="External"/><Relationship Id="rId83" Type="http://schemas.openxmlformats.org/officeDocument/2006/relationships/hyperlink" Target="https://x.com/LittleRedZombie/status/1735164879970209900" TargetMode="External"/><Relationship Id="rId86" Type="http://schemas.openxmlformats.org/officeDocument/2006/relationships/hyperlink" Target="https://twitter.com/LittleRedZombie/status/1730586803181130164" TargetMode="External"/><Relationship Id="rId85" Type="http://schemas.openxmlformats.org/officeDocument/2006/relationships/hyperlink" Target="https://x.com/LittleRedZombie/status/1730586803181130164" TargetMode="External"/><Relationship Id="rId88" Type="http://schemas.openxmlformats.org/officeDocument/2006/relationships/hyperlink" Target="https://twitter.com/LittleRedZombie/status/1730583268758851828" TargetMode="External"/><Relationship Id="rId150" Type="http://schemas.openxmlformats.org/officeDocument/2006/relationships/hyperlink" Target="https://twitter.com/LittleRedZombie/status/1738767116055007429" TargetMode="External"/><Relationship Id="rId271" Type="http://schemas.openxmlformats.org/officeDocument/2006/relationships/hyperlink" Target="https://x.com/LittleRedZombie/status/1752692581329441185" TargetMode="External"/><Relationship Id="rId87" Type="http://schemas.openxmlformats.org/officeDocument/2006/relationships/hyperlink" Target="https://x.com/LittleRedZombie/status/1730583268758851828" TargetMode="External"/><Relationship Id="rId270" Type="http://schemas.openxmlformats.org/officeDocument/2006/relationships/hyperlink" Target="https://twitter.com/LittleRedZombie/status/1730150536781897761" TargetMode="External"/><Relationship Id="rId89" Type="http://schemas.openxmlformats.org/officeDocument/2006/relationships/hyperlink" Target="https://x.com/LittleRedZombie/status/1730150536781897761" TargetMode="External"/><Relationship Id="rId80" Type="http://schemas.openxmlformats.org/officeDocument/2006/relationships/hyperlink" Target="https://twitter.com/LittleRedZombie/status/1738473331702268151" TargetMode="External"/><Relationship Id="rId82" Type="http://schemas.openxmlformats.org/officeDocument/2006/relationships/hyperlink" Target="https://twitter.com/LittleRedZombie/status/1738208448838545565" TargetMode="External"/><Relationship Id="rId81" Type="http://schemas.openxmlformats.org/officeDocument/2006/relationships/hyperlink" Target="https://x.com/LittleRedZombie/status/1738208448838545565" TargetMode="External"/><Relationship Id="rId1" Type="http://schemas.openxmlformats.org/officeDocument/2006/relationships/hyperlink" Target="https://x.com/LittleRedZombie/status/1752692581329441185" TargetMode="External"/><Relationship Id="rId2" Type="http://schemas.openxmlformats.org/officeDocument/2006/relationships/hyperlink" Target="https://twitter.com/LittleRedZombie/status/1752692581329441185" TargetMode="External"/><Relationship Id="rId3" Type="http://schemas.openxmlformats.org/officeDocument/2006/relationships/hyperlink" Target="https://x.com/LittleRedZombie/status/1739211500571726257" TargetMode="External"/><Relationship Id="rId149" Type="http://schemas.openxmlformats.org/officeDocument/2006/relationships/hyperlink" Target="https://x.com/LittleRedZombie/status/1738767116055007429" TargetMode="External"/><Relationship Id="rId4" Type="http://schemas.openxmlformats.org/officeDocument/2006/relationships/hyperlink" Target="https://twitter.com/LittleRedZombie/status/1739211500571726257" TargetMode="External"/><Relationship Id="rId148" Type="http://schemas.openxmlformats.org/officeDocument/2006/relationships/hyperlink" Target="https://twitter.com/LittleRedZombie/status/1739211500571726257" TargetMode="External"/><Relationship Id="rId269" Type="http://schemas.openxmlformats.org/officeDocument/2006/relationships/hyperlink" Target="https://x.com/LittleRedZombie/status/1730150536781897761" TargetMode="External"/><Relationship Id="rId9" Type="http://schemas.openxmlformats.org/officeDocument/2006/relationships/hyperlink" Target="https://x.com/LittleRedZombie/status/1738208448838545565" TargetMode="External"/><Relationship Id="rId143" Type="http://schemas.openxmlformats.org/officeDocument/2006/relationships/hyperlink" Target="https://x.com/LittleRedZombie/status/1730150536781897761" TargetMode="External"/><Relationship Id="rId264" Type="http://schemas.openxmlformats.org/officeDocument/2006/relationships/hyperlink" Target="https://twitter.com/LittleRedZombie/status/1735164879970209900" TargetMode="External"/><Relationship Id="rId142" Type="http://schemas.openxmlformats.org/officeDocument/2006/relationships/hyperlink" Target="https://twitter.com/LittleRedZombie/status/1730583268758851828" TargetMode="External"/><Relationship Id="rId263" Type="http://schemas.openxmlformats.org/officeDocument/2006/relationships/hyperlink" Target="https://x.com/LittleRedZombie/status/1735164879970209900" TargetMode="External"/><Relationship Id="rId141" Type="http://schemas.openxmlformats.org/officeDocument/2006/relationships/hyperlink" Target="https://x.com/LittleRedZombie/status/1730583268758851828" TargetMode="External"/><Relationship Id="rId262" Type="http://schemas.openxmlformats.org/officeDocument/2006/relationships/hyperlink" Target="https://twitter.com/LittleRedZombie/status/1738208448838545565" TargetMode="External"/><Relationship Id="rId140" Type="http://schemas.openxmlformats.org/officeDocument/2006/relationships/hyperlink" Target="https://twitter.com/LittleRedZombie/status/1730586803181130164" TargetMode="External"/><Relationship Id="rId261" Type="http://schemas.openxmlformats.org/officeDocument/2006/relationships/hyperlink" Target="https://x.com/LittleRedZombie/status/1738208448838545565" TargetMode="External"/><Relationship Id="rId5" Type="http://schemas.openxmlformats.org/officeDocument/2006/relationships/hyperlink" Target="https://x.com/LittleRedZombie/status/1738767116055007429" TargetMode="External"/><Relationship Id="rId147" Type="http://schemas.openxmlformats.org/officeDocument/2006/relationships/hyperlink" Target="https://x.com/LittleRedZombie/status/1739211500571726257" TargetMode="External"/><Relationship Id="rId268" Type="http://schemas.openxmlformats.org/officeDocument/2006/relationships/hyperlink" Target="https://twitter.com/LittleRedZombie/status/1730583268758851828" TargetMode="External"/><Relationship Id="rId6" Type="http://schemas.openxmlformats.org/officeDocument/2006/relationships/hyperlink" Target="https://twitter.com/LittleRedZombie/status/1738767116055007429" TargetMode="External"/><Relationship Id="rId146" Type="http://schemas.openxmlformats.org/officeDocument/2006/relationships/hyperlink" Target="https://twitter.com/LittleRedZombie/status/1752692581329441185" TargetMode="External"/><Relationship Id="rId267" Type="http://schemas.openxmlformats.org/officeDocument/2006/relationships/hyperlink" Target="https://x.com/LittleRedZombie/status/1730583268758851828" TargetMode="External"/><Relationship Id="rId7" Type="http://schemas.openxmlformats.org/officeDocument/2006/relationships/hyperlink" Target="https://x.com/LittleRedZombie/status/1738473331702268151" TargetMode="External"/><Relationship Id="rId145" Type="http://schemas.openxmlformats.org/officeDocument/2006/relationships/hyperlink" Target="https://x.com/LittleRedZombie/status/1752692581329441185" TargetMode="External"/><Relationship Id="rId266" Type="http://schemas.openxmlformats.org/officeDocument/2006/relationships/hyperlink" Target="https://twitter.com/LittleRedZombie/status/1730586803181130164" TargetMode="External"/><Relationship Id="rId8" Type="http://schemas.openxmlformats.org/officeDocument/2006/relationships/hyperlink" Target="https://twitter.com/LittleRedZombie/status/1738473331702268151" TargetMode="External"/><Relationship Id="rId144" Type="http://schemas.openxmlformats.org/officeDocument/2006/relationships/hyperlink" Target="https://twitter.com/LittleRedZombie/status/1730150536781897761" TargetMode="External"/><Relationship Id="rId265" Type="http://schemas.openxmlformats.org/officeDocument/2006/relationships/hyperlink" Target="https://x.com/LittleRedZombie/status/1730586803181130164" TargetMode="External"/><Relationship Id="rId73" Type="http://schemas.openxmlformats.org/officeDocument/2006/relationships/hyperlink" Target="https://x.com/LittleRedZombie/status/1752692581329441185" TargetMode="External"/><Relationship Id="rId72" Type="http://schemas.openxmlformats.org/officeDocument/2006/relationships/hyperlink" Target="https://twitter.com/LittleRedZombie/status/1730150536781897761" TargetMode="External"/><Relationship Id="rId75" Type="http://schemas.openxmlformats.org/officeDocument/2006/relationships/hyperlink" Target="https://x.com/LittleRedZombie/status/1739211500571726257" TargetMode="External"/><Relationship Id="rId74" Type="http://schemas.openxmlformats.org/officeDocument/2006/relationships/hyperlink" Target="https://twitter.com/LittleRedZombie/status/1752692581329441185" TargetMode="External"/><Relationship Id="rId77" Type="http://schemas.openxmlformats.org/officeDocument/2006/relationships/hyperlink" Target="https://x.com/LittleRedZombie/status/1738767116055007429" TargetMode="External"/><Relationship Id="rId260" Type="http://schemas.openxmlformats.org/officeDocument/2006/relationships/hyperlink" Target="https://twitter.com/LittleRedZombie/status/1738473331702268151" TargetMode="External"/><Relationship Id="rId76" Type="http://schemas.openxmlformats.org/officeDocument/2006/relationships/hyperlink" Target="https://twitter.com/LittleRedZombie/status/1739211500571726257" TargetMode="External"/><Relationship Id="rId79" Type="http://schemas.openxmlformats.org/officeDocument/2006/relationships/hyperlink" Target="https://x.com/LittleRedZombie/status/1738473331702268151" TargetMode="External"/><Relationship Id="rId78" Type="http://schemas.openxmlformats.org/officeDocument/2006/relationships/hyperlink" Target="https://twitter.com/LittleRedZombie/status/1738767116055007429" TargetMode="External"/><Relationship Id="rId71" Type="http://schemas.openxmlformats.org/officeDocument/2006/relationships/hyperlink" Target="https://x.com/LittleRedZombie/status/1730150536781897761" TargetMode="External"/><Relationship Id="rId70" Type="http://schemas.openxmlformats.org/officeDocument/2006/relationships/hyperlink" Target="https://twitter.com/LittleRedZombie/status/1730583268758851828" TargetMode="External"/><Relationship Id="rId139" Type="http://schemas.openxmlformats.org/officeDocument/2006/relationships/hyperlink" Target="https://x.com/LittleRedZombie/status/1730586803181130164" TargetMode="External"/><Relationship Id="rId138" Type="http://schemas.openxmlformats.org/officeDocument/2006/relationships/hyperlink" Target="https://twitter.com/LittleRedZombie/status/1735164879970209900" TargetMode="External"/><Relationship Id="rId259" Type="http://schemas.openxmlformats.org/officeDocument/2006/relationships/hyperlink" Target="https://x.com/LittleRedZombie/status/1738473331702268151" TargetMode="External"/><Relationship Id="rId137" Type="http://schemas.openxmlformats.org/officeDocument/2006/relationships/hyperlink" Target="https://x.com/LittleRedZombie/status/1735164879970209900" TargetMode="External"/><Relationship Id="rId258" Type="http://schemas.openxmlformats.org/officeDocument/2006/relationships/hyperlink" Target="https://twitter.com/LittleRedZombie/status/1738767116055007429" TargetMode="External"/><Relationship Id="rId132" Type="http://schemas.openxmlformats.org/officeDocument/2006/relationships/hyperlink" Target="https://twitter.com/LittleRedZombie/status/1738767116055007429" TargetMode="External"/><Relationship Id="rId253" Type="http://schemas.openxmlformats.org/officeDocument/2006/relationships/hyperlink" Target="https://x.com/LittleRedZombie/status/1752692581329441185" TargetMode="External"/><Relationship Id="rId131" Type="http://schemas.openxmlformats.org/officeDocument/2006/relationships/hyperlink" Target="https://x.com/LittleRedZombie/status/1738767116055007429" TargetMode="External"/><Relationship Id="rId252" Type="http://schemas.openxmlformats.org/officeDocument/2006/relationships/hyperlink" Target="https://twitter.com/LittleRedZombie/status/1730150536781897761" TargetMode="External"/><Relationship Id="rId130" Type="http://schemas.openxmlformats.org/officeDocument/2006/relationships/hyperlink" Target="https://twitter.com/LittleRedZombie/status/1739211500571726257" TargetMode="External"/><Relationship Id="rId251" Type="http://schemas.openxmlformats.org/officeDocument/2006/relationships/hyperlink" Target="https://x.com/LittleRedZombie/status/1730150536781897761" TargetMode="External"/><Relationship Id="rId250" Type="http://schemas.openxmlformats.org/officeDocument/2006/relationships/hyperlink" Target="https://twitter.com/LittleRedZombie/status/1730583268758851828" TargetMode="External"/><Relationship Id="rId136" Type="http://schemas.openxmlformats.org/officeDocument/2006/relationships/hyperlink" Target="https://twitter.com/LittleRedZombie/status/1738208448838545565" TargetMode="External"/><Relationship Id="rId257" Type="http://schemas.openxmlformats.org/officeDocument/2006/relationships/hyperlink" Target="https://x.com/LittleRedZombie/status/1738767116055007429" TargetMode="External"/><Relationship Id="rId135" Type="http://schemas.openxmlformats.org/officeDocument/2006/relationships/hyperlink" Target="https://x.com/LittleRedZombie/status/1738208448838545565" TargetMode="External"/><Relationship Id="rId256" Type="http://schemas.openxmlformats.org/officeDocument/2006/relationships/hyperlink" Target="https://twitter.com/LittleRedZombie/status/1739211500571726257" TargetMode="External"/><Relationship Id="rId134" Type="http://schemas.openxmlformats.org/officeDocument/2006/relationships/hyperlink" Target="https://twitter.com/LittleRedZombie/status/1738473331702268151" TargetMode="External"/><Relationship Id="rId255" Type="http://schemas.openxmlformats.org/officeDocument/2006/relationships/hyperlink" Target="https://x.com/LittleRedZombie/status/1739211500571726257" TargetMode="External"/><Relationship Id="rId133" Type="http://schemas.openxmlformats.org/officeDocument/2006/relationships/hyperlink" Target="https://x.com/LittleRedZombie/status/1738473331702268151" TargetMode="External"/><Relationship Id="rId254" Type="http://schemas.openxmlformats.org/officeDocument/2006/relationships/hyperlink" Target="https://twitter.com/LittleRedZombie/status/1752692581329441185" TargetMode="External"/><Relationship Id="rId62" Type="http://schemas.openxmlformats.org/officeDocument/2006/relationships/hyperlink" Target="https://twitter.com/LittleRedZombie/status/1738473331702268151" TargetMode="External"/><Relationship Id="rId61" Type="http://schemas.openxmlformats.org/officeDocument/2006/relationships/hyperlink" Target="https://x.com/LittleRedZombie/status/1738473331702268151" TargetMode="External"/><Relationship Id="rId64" Type="http://schemas.openxmlformats.org/officeDocument/2006/relationships/hyperlink" Target="https://twitter.com/LittleRedZombie/status/1738208448838545565" TargetMode="External"/><Relationship Id="rId63" Type="http://schemas.openxmlformats.org/officeDocument/2006/relationships/hyperlink" Target="https://x.com/LittleRedZombie/status/1738208448838545565" TargetMode="External"/><Relationship Id="rId66" Type="http://schemas.openxmlformats.org/officeDocument/2006/relationships/hyperlink" Target="https://twitter.com/LittleRedZombie/status/1735164879970209900" TargetMode="External"/><Relationship Id="rId172" Type="http://schemas.openxmlformats.org/officeDocument/2006/relationships/hyperlink" Target="https://twitter.com/LittleRedZombie/status/1738208448838545565" TargetMode="External"/><Relationship Id="rId293" Type="http://schemas.openxmlformats.org/officeDocument/2006/relationships/hyperlink" Target="https://x.com/LittleRedZombie/status/1738767116055007429" TargetMode="External"/><Relationship Id="rId65" Type="http://schemas.openxmlformats.org/officeDocument/2006/relationships/hyperlink" Target="https://x.com/LittleRedZombie/status/1735164879970209900" TargetMode="External"/><Relationship Id="rId171" Type="http://schemas.openxmlformats.org/officeDocument/2006/relationships/hyperlink" Target="https://x.com/LittleRedZombie/status/1738208448838545565" TargetMode="External"/><Relationship Id="rId292" Type="http://schemas.openxmlformats.org/officeDocument/2006/relationships/hyperlink" Target="https://twitter.com/LittleRedZombie/status/1739211500571726257" TargetMode="External"/><Relationship Id="rId68" Type="http://schemas.openxmlformats.org/officeDocument/2006/relationships/hyperlink" Target="https://twitter.com/LittleRedZombie/status/1730586803181130164" TargetMode="External"/><Relationship Id="rId170" Type="http://schemas.openxmlformats.org/officeDocument/2006/relationships/hyperlink" Target="https://twitter.com/LittleRedZombie/status/1738473331702268151" TargetMode="External"/><Relationship Id="rId291" Type="http://schemas.openxmlformats.org/officeDocument/2006/relationships/hyperlink" Target="https://x.com/LittleRedZombie/status/1739211500571726257" TargetMode="External"/><Relationship Id="rId67" Type="http://schemas.openxmlformats.org/officeDocument/2006/relationships/hyperlink" Target="https://x.com/LittleRedZombie/status/1730586803181130164" TargetMode="External"/><Relationship Id="rId290" Type="http://schemas.openxmlformats.org/officeDocument/2006/relationships/hyperlink" Target="https://twitter.com/LittleRedZombie/status/1752692581329441185" TargetMode="External"/><Relationship Id="rId60" Type="http://schemas.openxmlformats.org/officeDocument/2006/relationships/hyperlink" Target="https://twitter.com/LittleRedZombie/status/1738767116055007429" TargetMode="External"/><Relationship Id="rId165" Type="http://schemas.openxmlformats.org/officeDocument/2006/relationships/hyperlink" Target="https://x.com/LittleRedZombie/status/1739211500571726257" TargetMode="External"/><Relationship Id="rId286" Type="http://schemas.openxmlformats.org/officeDocument/2006/relationships/hyperlink" Target="https://twitter.com/LittleRedZombie/status/1730583268758851828" TargetMode="External"/><Relationship Id="rId69" Type="http://schemas.openxmlformats.org/officeDocument/2006/relationships/hyperlink" Target="https://x.com/LittleRedZombie/status/1730583268758851828" TargetMode="External"/><Relationship Id="rId164" Type="http://schemas.openxmlformats.org/officeDocument/2006/relationships/hyperlink" Target="https://twitter.com/LittleRedZombie/status/1752692581329441185" TargetMode="External"/><Relationship Id="rId285" Type="http://schemas.openxmlformats.org/officeDocument/2006/relationships/hyperlink" Target="https://x.com/LittleRedZombie/status/1730583268758851828" TargetMode="External"/><Relationship Id="rId163" Type="http://schemas.openxmlformats.org/officeDocument/2006/relationships/hyperlink" Target="https://x.com/LittleRedZombie/status/1752692581329441185" TargetMode="External"/><Relationship Id="rId284" Type="http://schemas.openxmlformats.org/officeDocument/2006/relationships/hyperlink" Target="https://twitter.com/LittleRedZombie/status/1730586803181130164" TargetMode="External"/><Relationship Id="rId162" Type="http://schemas.openxmlformats.org/officeDocument/2006/relationships/hyperlink" Target="https://twitter.com/LittleRedZombie/status/1730150536781897761" TargetMode="External"/><Relationship Id="rId283" Type="http://schemas.openxmlformats.org/officeDocument/2006/relationships/hyperlink" Target="https://x.com/LittleRedZombie/status/1730586803181130164" TargetMode="External"/><Relationship Id="rId169" Type="http://schemas.openxmlformats.org/officeDocument/2006/relationships/hyperlink" Target="https://x.com/LittleRedZombie/status/1738473331702268151" TargetMode="External"/><Relationship Id="rId168" Type="http://schemas.openxmlformats.org/officeDocument/2006/relationships/hyperlink" Target="https://twitter.com/LittleRedZombie/status/1738767116055007429" TargetMode="External"/><Relationship Id="rId289" Type="http://schemas.openxmlformats.org/officeDocument/2006/relationships/hyperlink" Target="https://x.com/LittleRedZombie/status/1752692581329441185" TargetMode="External"/><Relationship Id="rId167" Type="http://schemas.openxmlformats.org/officeDocument/2006/relationships/hyperlink" Target="https://x.com/LittleRedZombie/status/1738767116055007429" TargetMode="External"/><Relationship Id="rId288" Type="http://schemas.openxmlformats.org/officeDocument/2006/relationships/hyperlink" Target="https://twitter.com/LittleRedZombie/status/1730150536781897761" TargetMode="External"/><Relationship Id="rId166" Type="http://schemas.openxmlformats.org/officeDocument/2006/relationships/hyperlink" Target="https://twitter.com/LittleRedZombie/status/1739211500571726257" TargetMode="External"/><Relationship Id="rId287" Type="http://schemas.openxmlformats.org/officeDocument/2006/relationships/hyperlink" Target="https://x.com/LittleRedZombie/status/1730150536781897761" TargetMode="External"/><Relationship Id="rId51" Type="http://schemas.openxmlformats.org/officeDocument/2006/relationships/hyperlink" Target="https://x.com/LittleRedZombie/status/1730583268758851828" TargetMode="External"/><Relationship Id="rId50" Type="http://schemas.openxmlformats.org/officeDocument/2006/relationships/hyperlink" Target="https://twitter.com/LittleRedZombie/status/1730586803181130164" TargetMode="External"/><Relationship Id="rId53" Type="http://schemas.openxmlformats.org/officeDocument/2006/relationships/hyperlink" Target="https://x.com/LittleRedZombie/status/1730150536781897761" TargetMode="External"/><Relationship Id="rId52" Type="http://schemas.openxmlformats.org/officeDocument/2006/relationships/hyperlink" Target="https://twitter.com/LittleRedZombie/status/1730583268758851828" TargetMode="External"/><Relationship Id="rId55" Type="http://schemas.openxmlformats.org/officeDocument/2006/relationships/hyperlink" Target="https://x.com/LittleRedZombie/status/1752692581329441185" TargetMode="External"/><Relationship Id="rId161" Type="http://schemas.openxmlformats.org/officeDocument/2006/relationships/hyperlink" Target="https://x.com/LittleRedZombie/status/1730150536781897761" TargetMode="External"/><Relationship Id="rId282" Type="http://schemas.openxmlformats.org/officeDocument/2006/relationships/hyperlink" Target="https://twitter.com/LittleRedZombie/status/1735164879970209900" TargetMode="External"/><Relationship Id="rId54" Type="http://schemas.openxmlformats.org/officeDocument/2006/relationships/hyperlink" Target="https://twitter.com/LittleRedZombie/status/1730150536781897761" TargetMode="External"/><Relationship Id="rId160" Type="http://schemas.openxmlformats.org/officeDocument/2006/relationships/hyperlink" Target="https://twitter.com/LittleRedZombie/status/1730583268758851828" TargetMode="External"/><Relationship Id="rId281" Type="http://schemas.openxmlformats.org/officeDocument/2006/relationships/hyperlink" Target="https://x.com/LittleRedZombie/status/1735164879970209900" TargetMode="External"/><Relationship Id="rId57" Type="http://schemas.openxmlformats.org/officeDocument/2006/relationships/hyperlink" Target="https://x.com/LittleRedZombie/status/1739211500571726257" TargetMode="External"/><Relationship Id="rId280" Type="http://schemas.openxmlformats.org/officeDocument/2006/relationships/hyperlink" Target="https://twitter.com/LittleRedZombie/status/1738208448838545565" TargetMode="External"/><Relationship Id="rId56" Type="http://schemas.openxmlformats.org/officeDocument/2006/relationships/hyperlink" Target="https://twitter.com/LittleRedZombie/status/1752692581329441185" TargetMode="External"/><Relationship Id="rId159" Type="http://schemas.openxmlformats.org/officeDocument/2006/relationships/hyperlink" Target="https://x.com/LittleRedZombie/status/1730583268758851828" TargetMode="External"/><Relationship Id="rId59" Type="http://schemas.openxmlformats.org/officeDocument/2006/relationships/hyperlink" Target="https://x.com/LittleRedZombie/status/1738767116055007429" TargetMode="External"/><Relationship Id="rId154" Type="http://schemas.openxmlformats.org/officeDocument/2006/relationships/hyperlink" Target="https://twitter.com/LittleRedZombie/status/1738208448838545565" TargetMode="External"/><Relationship Id="rId275" Type="http://schemas.openxmlformats.org/officeDocument/2006/relationships/hyperlink" Target="https://x.com/LittleRedZombie/status/1738767116055007429" TargetMode="External"/><Relationship Id="rId58" Type="http://schemas.openxmlformats.org/officeDocument/2006/relationships/hyperlink" Target="https://twitter.com/LittleRedZombie/status/1739211500571726257" TargetMode="External"/><Relationship Id="rId153" Type="http://schemas.openxmlformats.org/officeDocument/2006/relationships/hyperlink" Target="https://x.com/LittleRedZombie/status/1738208448838545565" TargetMode="External"/><Relationship Id="rId274" Type="http://schemas.openxmlformats.org/officeDocument/2006/relationships/hyperlink" Target="https://twitter.com/LittleRedZombie/status/1739211500571726257" TargetMode="External"/><Relationship Id="rId152" Type="http://schemas.openxmlformats.org/officeDocument/2006/relationships/hyperlink" Target="https://twitter.com/LittleRedZombie/status/1738473331702268151" TargetMode="External"/><Relationship Id="rId273" Type="http://schemas.openxmlformats.org/officeDocument/2006/relationships/hyperlink" Target="https://x.com/LittleRedZombie/status/1739211500571726257" TargetMode="External"/><Relationship Id="rId151" Type="http://schemas.openxmlformats.org/officeDocument/2006/relationships/hyperlink" Target="https://x.com/LittleRedZombie/status/1738473331702268151" TargetMode="External"/><Relationship Id="rId272" Type="http://schemas.openxmlformats.org/officeDocument/2006/relationships/hyperlink" Target="https://twitter.com/LittleRedZombie/status/1752692581329441185" TargetMode="External"/><Relationship Id="rId158" Type="http://schemas.openxmlformats.org/officeDocument/2006/relationships/hyperlink" Target="https://twitter.com/LittleRedZombie/status/1730586803181130164" TargetMode="External"/><Relationship Id="rId279" Type="http://schemas.openxmlformats.org/officeDocument/2006/relationships/hyperlink" Target="https://x.com/LittleRedZombie/status/1738208448838545565" TargetMode="External"/><Relationship Id="rId157" Type="http://schemas.openxmlformats.org/officeDocument/2006/relationships/hyperlink" Target="https://x.com/LittleRedZombie/status/1730586803181130164" TargetMode="External"/><Relationship Id="rId278" Type="http://schemas.openxmlformats.org/officeDocument/2006/relationships/hyperlink" Target="https://twitter.com/LittleRedZombie/status/1738473331702268151" TargetMode="External"/><Relationship Id="rId156" Type="http://schemas.openxmlformats.org/officeDocument/2006/relationships/hyperlink" Target="https://twitter.com/LittleRedZombie/status/1735164879970209900" TargetMode="External"/><Relationship Id="rId277" Type="http://schemas.openxmlformats.org/officeDocument/2006/relationships/hyperlink" Target="https://x.com/LittleRedZombie/status/1738473331702268151" TargetMode="External"/><Relationship Id="rId155" Type="http://schemas.openxmlformats.org/officeDocument/2006/relationships/hyperlink" Target="https://x.com/LittleRedZombie/status/1735164879970209900" TargetMode="External"/><Relationship Id="rId276" Type="http://schemas.openxmlformats.org/officeDocument/2006/relationships/hyperlink" Target="https://twitter.com/LittleRedZombie/status/1738767116055007429" TargetMode="External"/><Relationship Id="rId107" Type="http://schemas.openxmlformats.org/officeDocument/2006/relationships/hyperlink" Target="https://x.com/LittleRedZombie/status/1730150536781897761" TargetMode="External"/><Relationship Id="rId228" Type="http://schemas.openxmlformats.org/officeDocument/2006/relationships/hyperlink" Target="https://twitter.com/LittleRedZombie/status/1735164879970209900" TargetMode="External"/><Relationship Id="rId349" Type="http://schemas.openxmlformats.org/officeDocument/2006/relationships/hyperlink" Target="https://x.com/LittleRedZombie/status/1738473331702268151" TargetMode="External"/><Relationship Id="rId106" Type="http://schemas.openxmlformats.org/officeDocument/2006/relationships/hyperlink" Target="https://twitter.com/LittleRedZombie/status/1730583268758851828" TargetMode="External"/><Relationship Id="rId227" Type="http://schemas.openxmlformats.org/officeDocument/2006/relationships/hyperlink" Target="https://x.com/LittleRedZombie/status/1735164879970209900" TargetMode="External"/><Relationship Id="rId348" Type="http://schemas.openxmlformats.org/officeDocument/2006/relationships/hyperlink" Target="https://twitter.com/LittleRedZombie/status/1738767116055007429" TargetMode="External"/><Relationship Id="rId105" Type="http://schemas.openxmlformats.org/officeDocument/2006/relationships/hyperlink" Target="https://x.com/LittleRedZombie/status/1730583268758851828" TargetMode="External"/><Relationship Id="rId226" Type="http://schemas.openxmlformats.org/officeDocument/2006/relationships/hyperlink" Target="https://twitter.com/LittleRedZombie/status/1738208448838545565" TargetMode="External"/><Relationship Id="rId347" Type="http://schemas.openxmlformats.org/officeDocument/2006/relationships/hyperlink" Target="https://x.com/LittleRedZombie/status/1738767116055007429" TargetMode="External"/><Relationship Id="rId104" Type="http://schemas.openxmlformats.org/officeDocument/2006/relationships/hyperlink" Target="https://twitter.com/LittleRedZombie/status/1730586803181130164" TargetMode="External"/><Relationship Id="rId225" Type="http://schemas.openxmlformats.org/officeDocument/2006/relationships/hyperlink" Target="https://x.com/LittleRedZombie/status/1738208448838545565" TargetMode="External"/><Relationship Id="rId346" Type="http://schemas.openxmlformats.org/officeDocument/2006/relationships/hyperlink" Target="https://twitter.com/LittleRedZombie/status/1739211500571726257" TargetMode="External"/><Relationship Id="rId109" Type="http://schemas.openxmlformats.org/officeDocument/2006/relationships/hyperlink" Target="https://x.com/LittleRedZombie/status/1752692581329441185" TargetMode="External"/><Relationship Id="rId108" Type="http://schemas.openxmlformats.org/officeDocument/2006/relationships/hyperlink" Target="https://twitter.com/LittleRedZombie/status/1730150536781897761" TargetMode="External"/><Relationship Id="rId229" Type="http://schemas.openxmlformats.org/officeDocument/2006/relationships/hyperlink" Target="https://x.com/LittleRedZombie/status/1730586803181130164" TargetMode="External"/><Relationship Id="rId220" Type="http://schemas.openxmlformats.org/officeDocument/2006/relationships/hyperlink" Target="https://twitter.com/LittleRedZombie/status/1739211500571726257" TargetMode="External"/><Relationship Id="rId341" Type="http://schemas.openxmlformats.org/officeDocument/2006/relationships/hyperlink" Target="https://x.com/LittleRedZombie/status/1730150536781897761" TargetMode="External"/><Relationship Id="rId340" Type="http://schemas.openxmlformats.org/officeDocument/2006/relationships/hyperlink" Target="https://twitter.com/LittleRedZombie/status/1730583268758851828" TargetMode="External"/><Relationship Id="rId103" Type="http://schemas.openxmlformats.org/officeDocument/2006/relationships/hyperlink" Target="https://x.com/LittleRedZombie/status/1730586803181130164" TargetMode="External"/><Relationship Id="rId224" Type="http://schemas.openxmlformats.org/officeDocument/2006/relationships/hyperlink" Target="https://twitter.com/LittleRedZombie/status/1738473331702268151" TargetMode="External"/><Relationship Id="rId345" Type="http://schemas.openxmlformats.org/officeDocument/2006/relationships/hyperlink" Target="https://x.com/LittleRedZombie/status/1739211500571726257" TargetMode="External"/><Relationship Id="rId102" Type="http://schemas.openxmlformats.org/officeDocument/2006/relationships/hyperlink" Target="https://twitter.com/LittleRedZombie/status/1735164879970209900" TargetMode="External"/><Relationship Id="rId223" Type="http://schemas.openxmlformats.org/officeDocument/2006/relationships/hyperlink" Target="https://x.com/LittleRedZombie/status/1738473331702268151" TargetMode="External"/><Relationship Id="rId344" Type="http://schemas.openxmlformats.org/officeDocument/2006/relationships/hyperlink" Target="https://twitter.com/LittleRedZombie/status/1752692581329441185" TargetMode="External"/><Relationship Id="rId101" Type="http://schemas.openxmlformats.org/officeDocument/2006/relationships/hyperlink" Target="https://x.com/LittleRedZombie/status/1735164879970209900" TargetMode="External"/><Relationship Id="rId222" Type="http://schemas.openxmlformats.org/officeDocument/2006/relationships/hyperlink" Target="https://twitter.com/LittleRedZombie/status/1738767116055007429" TargetMode="External"/><Relationship Id="rId343" Type="http://schemas.openxmlformats.org/officeDocument/2006/relationships/hyperlink" Target="https://x.com/LittleRedZombie/status/1752692581329441185" TargetMode="External"/><Relationship Id="rId100" Type="http://schemas.openxmlformats.org/officeDocument/2006/relationships/hyperlink" Target="https://twitter.com/LittleRedZombie/status/1738208448838545565" TargetMode="External"/><Relationship Id="rId221" Type="http://schemas.openxmlformats.org/officeDocument/2006/relationships/hyperlink" Target="https://x.com/LittleRedZombie/status/1738767116055007429" TargetMode="External"/><Relationship Id="rId342" Type="http://schemas.openxmlformats.org/officeDocument/2006/relationships/hyperlink" Target="https://twitter.com/LittleRedZombie/status/1730150536781897761" TargetMode="External"/><Relationship Id="rId217" Type="http://schemas.openxmlformats.org/officeDocument/2006/relationships/hyperlink" Target="https://x.com/LittleRedZombie/status/1752692581329441185" TargetMode="External"/><Relationship Id="rId338" Type="http://schemas.openxmlformats.org/officeDocument/2006/relationships/hyperlink" Target="https://twitter.com/LittleRedZombie/status/1730586803181130164" TargetMode="External"/><Relationship Id="rId216" Type="http://schemas.openxmlformats.org/officeDocument/2006/relationships/hyperlink" Target="https://twitter.com/LittleRedZombie/status/1730150536781897761" TargetMode="External"/><Relationship Id="rId337" Type="http://schemas.openxmlformats.org/officeDocument/2006/relationships/hyperlink" Target="https://x.com/LittleRedZombie/status/1730586803181130164" TargetMode="External"/><Relationship Id="rId215" Type="http://schemas.openxmlformats.org/officeDocument/2006/relationships/hyperlink" Target="https://x.com/LittleRedZombie/status/1730150536781897761" TargetMode="External"/><Relationship Id="rId336" Type="http://schemas.openxmlformats.org/officeDocument/2006/relationships/hyperlink" Target="https://twitter.com/LittleRedZombie/status/1735164879970209900" TargetMode="External"/><Relationship Id="rId214" Type="http://schemas.openxmlformats.org/officeDocument/2006/relationships/hyperlink" Target="https://twitter.com/LittleRedZombie/status/1730583268758851828" TargetMode="External"/><Relationship Id="rId335" Type="http://schemas.openxmlformats.org/officeDocument/2006/relationships/hyperlink" Target="https://x.com/LittleRedZombie/status/1735164879970209900" TargetMode="External"/><Relationship Id="rId219" Type="http://schemas.openxmlformats.org/officeDocument/2006/relationships/hyperlink" Target="https://x.com/LittleRedZombie/status/1739211500571726257" TargetMode="External"/><Relationship Id="rId218" Type="http://schemas.openxmlformats.org/officeDocument/2006/relationships/hyperlink" Target="https://twitter.com/LittleRedZombie/status/1752692581329441185" TargetMode="External"/><Relationship Id="rId339" Type="http://schemas.openxmlformats.org/officeDocument/2006/relationships/hyperlink" Target="https://x.com/LittleRedZombie/status/1730583268758851828" TargetMode="External"/><Relationship Id="rId330" Type="http://schemas.openxmlformats.org/officeDocument/2006/relationships/hyperlink" Target="https://twitter.com/LittleRedZombie/status/1738767116055007429" TargetMode="External"/><Relationship Id="rId213" Type="http://schemas.openxmlformats.org/officeDocument/2006/relationships/hyperlink" Target="https://x.com/LittleRedZombie/status/1730583268758851828" TargetMode="External"/><Relationship Id="rId334" Type="http://schemas.openxmlformats.org/officeDocument/2006/relationships/hyperlink" Target="https://twitter.com/LittleRedZombie/status/1738208448838545565" TargetMode="External"/><Relationship Id="rId212" Type="http://schemas.openxmlformats.org/officeDocument/2006/relationships/hyperlink" Target="https://twitter.com/LittleRedZombie/status/1730586803181130164" TargetMode="External"/><Relationship Id="rId333" Type="http://schemas.openxmlformats.org/officeDocument/2006/relationships/hyperlink" Target="https://x.com/LittleRedZombie/status/1738208448838545565" TargetMode="External"/><Relationship Id="rId211" Type="http://schemas.openxmlformats.org/officeDocument/2006/relationships/hyperlink" Target="https://x.com/LittleRedZombie/status/1730586803181130164" TargetMode="External"/><Relationship Id="rId332" Type="http://schemas.openxmlformats.org/officeDocument/2006/relationships/hyperlink" Target="https://twitter.com/LittleRedZombie/status/1738473331702268151" TargetMode="External"/><Relationship Id="rId210" Type="http://schemas.openxmlformats.org/officeDocument/2006/relationships/hyperlink" Target="https://twitter.com/LittleRedZombie/status/1735164879970209900" TargetMode="External"/><Relationship Id="rId331" Type="http://schemas.openxmlformats.org/officeDocument/2006/relationships/hyperlink" Target="https://x.com/LittleRedZombie/status/1738473331702268151" TargetMode="External"/><Relationship Id="rId129" Type="http://schemas.openxmlformats.org/officeDocument/2006/relationships/hyperlink" Target="https://x.com/LittleRedZombie/status/1739211500571726257" TargetMode="External"/><Relationship Id="rId128" Type="http://schemas.openxmlformats.org/officeDocument/2006/relationships/hyperlink" Target="https://twitter.com/LittleRedZombie/status/1752692581329441185" TargetMode="External"/><Relationship Id="rId249" Type="http://schemas.openxmlformats.org/officeDocument/2006/relationships/hyperlink" Target="https://x.com/LittleRedZombie/status/1730583268758851828" TargetMode="External"/><Relationship Id="rId127" Type="http://schemas.openxmlformats.org/officeDocument/2006/relationships/hyperlink" Target="https://x.com/LittleRedZombie/status/1752692581329441185" TargetMode="External"/><Relationship Id="rId248" Type="http://schemas.openxmlformats.org/officeDocument/2006/relationships/hyperlink" Target="https://twitter.com/LittleRedZombie/status/1730586803181130164" TargetMode="External"/><Relationship Id="rId126" Type="http://schemas.openxmlformats.org/officeDocument/2006/relationships/hyperlink" Target="https://twitter.com/LittleRedZombie/status/1730150536781897761" TargetMode="External"/><Relationship Id="rId247" Type="http://schemas.openxmlformats.org/officeDocument/2006/relationships/hyperlink" Target="https://x.com/LittleRedZombie/status/1730586803181130164" TargetMode="External"/><Relationship Id="rId121" Type="http://schemas.openxmlformats.org/officeDocument/2006/relationships/hyperlink" Target="https://x.com/LittleRedZombie/status/1730586803181130164" TargetMode="External"/><Relationship Id="rId242" Type="http://schemas.openxmlformats.org/officeDocument/2006/relationships/hyperlink" Target="https://twitter.com/LittleRedZombie/status/1738473331702268151" TargetMode="External"/><Relationship Id="rId363" Type="http://schemas.openxmlformats.org/officeDocument/2006/relationships/table" Target="../tables/table6.xml"/><Relationship Id="rId120" Type="http://schemas.openxmlformats.org/officeDocument/2006/relationships/hyperlink" Target="https://twitter.com/LittleRedZombie/status/1735164879970209900" TargetMode="External"/><Relationship Id="rId241" Type="http://schemas.openxmlformats.org/officeDocument/2006/relationships/hyperlink" Target="https://x.com/LittleRedZombie/status/1738473331702268151" TargetMode="External"/><Relationship Id="rId240" Type="http://schemas.openxmlformats.org/officeDocument/2006/relationships/hyperlink" Target="https://twitter.com/LittleRedZombie/status/1738767116055007429" TargetMode="External"/><Relationship Id="rId361" Type="http://schemas.openxmlformats.org/officeDocument/2006/relationships/drawing" Target="../drawings/drawing4.xml"/><Relationship Id="rId360" Type="http://schemas.openxmlformats.org/officeDocument/2006/relationships/hyperlink" Target="https://twitter.com/LittleRedZombie/status/1730150536781897761" TargetMode="External"/><Relationship Id="rId125" Type="http://schemas.openxmlformats.org/officeDocument/2006/relationships/hyperlink" Target="https://x.com/LittleRedZombie/status/1730150536781897761" TargetMode="External"/><Relationship Id="rId246" Type="http://schemas.openxmlformats.org/officeDocument/2006/relationships/hyperlink" Target="https://twitter.com/LittleRedZombie/status/1735164879970209900" TargetMode="External"/><Relationship Id="rId124" Type="http://schemas.openxmlformats.org/officeDocument/2006/relationships/hyperlink" Target="https://twitter.com/LittleRedZombie/status/1730583268758851828" TargetMode="External"/><Relationship Id="rId245" Type="http://schemas.openxmlformats.org/officeDocument/2006/relationships/hyperlink" Target="https://x.com/LittleRedZombie/status/1735164879970209900" TargetMode="External"/><Relationship Id="rId123" Type="http://schemas.openxmlformats.org/officeDocument/2006/relationships/hyperlink" Target="https://x.com/LittleRedZombie/status/1730583268758851828" TargetMode="External"/><Relationship Id="rId244" Type="http://schemas.openxmlformats.org/officeDocument/2006/relationships/hyperlink" Target="https://twitter.com/LittleRedZombie/status/1738208448838545565" TargetMode="External"/><Relationship Id="rId122" Type="http://schemas.openxmlformats.org/officeDocument/2006/relationships/hyperlink" Target="https://twitter.com/LittleRedZombie/status/1730586803181130164" TargetMode="External"/><Relationship Id="rId243" Type="http://schemas.openxmlformats.org/officeDocument/2006/relationships/hyperlink" Target="https://x.com/LittleRedZombie/status/1738208448838545565" TargetMode="External"/><Relationship Id="rId95" Type="http://schemas.openxmlformats.org/officeDocument/2006/relationships/hyperlink" Target="https://x.com/LittleRedZombie/status/1738767116055007429" TargetMode="External"/><Relationship Id="rId94" Type="http://schemas.openxmlformats.org/officeDocument/2006/relationships/hyperlink" Target="https://twitter.com/LittleRedZombie/status/1739211500571726257" TargetMode="External"/><Relationship Id="rId97" Type="http://schemas.openxmlformats.org/officeDocument/2006/relationships/hyperlink" Target="https://x.com/LittleRedZombie/status/1738473331702268151" TargetMode="External"/><Relationship Id="rId96" Type="http://schemas.openxmlformats.org/officeDocument/2006/relationships/hyperlink" Target="https://twitter.com/LittleRedZombie/status/1738767116055007429" TargetMode="External"/><Relationship Id="rId99" Type="http://schemas.openxmlformats.org/officeDocument/2006/relationships/hyperlink" Target="https://x.com/LittleRedZombie/status/1738208448838545565" TargetMode="External"/><Relationship Id="rId98" Type="http://schemas.openxmlformats.org/officeDocument/2006/relationships/hyperlink" Target="https://twitter.com/LittleRedZombie/status/1738473331702268151" TargetMode="External"/><Relationship Id="rId91" Type="http://schemas.openxmlformats.org/officeDocument/2006/relationships/hyperlink" Target="https://x.com/LittleRedZombie/status/1752692581329441185" TargetMode="External"/><Relationship Id="rId90" Type="http://schemas.openxmlformats.org/officeDocument/2006/relationships/hyperlink" Target="https://twitter.com/LittleRedZombie/status/1730150536781897761" TargetMode="External"/><Relationship Id="rId93" Type="http://schemas.openxmlformats.org/officeDocument/2006/relationships/hyperlink" Target="https://x.com/LittleRedZombie/status/1739211500571726257" TargetMode="External"/><Relationship Id="rId92" Type="http://schemas.openxmlformats.org/officeDocument/2006/relationships/hyperlink" Target="https://twitter.com/LittleRedZombie/status/1752692581329441185" TargetMode="External"/><Relationship Id="rId118" Type="http://schemas.openxmlformats.org/officeDocument/2006/relationships/hyperlink" Target="https://twitter.com/LittleRedZombie/status/1738208448838545565" TargetMode="External"/><Relationship Id="rId239" Type="http://schemas.openxmlformats.org/officeDocument/2006/relationships/hyperlink" Target="https://x.com/LittleRedZombie/status/1738767116055007429" TargetMode="External"/><Relationship Id="rId117" Type="http://schemas.openxmlformats.org/officeDocument/2006/relationships/hyperlink" Target="https://x.com/LittleRedZombie/status/1738208448838545565" TargetMode="External"/><Relationship Id="rId238" Type="http://schemas.openxmlformats.org/officeDocument/2006/relationships/hyperlink" Target="https://twitter.com/LittleRedZombie/status/1739211500571726257" TargetMode="External"/><Relationship Id="rId359" Type="http://schemas.openxmlformats.org/officeDocument/2006/relationships/hyperlink" Target="https://x.com/LittleRedZombie/status/1730150536781897761" TargetMode="External"/><Relationship Id="rId116" Type="http://schemas.openxmlformats.org/officeDocument/2006/relationships/hyperlink" Target="https://twitter.com/LittleRedZombie/status/1738473331702268151" TargetMode="External"/><Relationship Id="rId237" Type="http://schemas.openxmlformats.org/officeDocument/2006/relationships/hyperlink" Target="https://x.com/LittleRedZombie/status/1739211500571726257" TargetMode="External"/><Relationship Id="rId358" Type="http://schemas.openxmlformats.org/officeDocument/2006/relationships/hyperlink" Target="https://twitter.com/LittleRedZombie/status/1730583268758851828" TargetMode="External"/><Relationship Id="rId115" Type="http://schemas.openxmlformats.org/officeDocument/2006/relationships/hyperlink" Target="https://x.com/LittleRedZombie/status/1738473331702268151" TargetMode="External"/><Relationship Id="rId236" Type="http://schemas.openxmlformats.org/officeDocument/2006/relationships/hyperlink" Target="https://twitter.com/LittleRedZombie/status/1752692581329441185" TargetMode="External"/><Relationship Id="rId357" Type="http://schemas.openxmlformats.org/officeDocument/2006/relationships/hyperlink" Target="https://x.com/LittleRedZombie/status/1730583268758851828" TargetMode="External"/><Relationship Id="rId119" Type="http://schemas.openxmlformats.org/officeDocument/2006/relationships/hyperlink" Target="https://x.com/LittleRedZombie/status/1735164879970209900" TargetMode="External"/><Relationship Id="rId110" Type="http://schemas.openxmlformats.org/officeDocument/2006/relationships/hyperlink" Target="https://twitter.com/LittleRedZombie/status/1752692581329441185" TargetMode="External"/><Relationship Id="rId231" Type="http://schemas.openxmlformats.org/officeDocument/2006/relationships/hyperlink" Target="https://x.com/LittleRedZombie/status/1730583268758851828" TargetMode="External"/><Relationship Id="rId352" Type="http://schemas.openxmlformats.org/officeDocument/2006/relationships/hyperlink" Target="https://twitter.com/LittleRedZombie/status/1738208448838545565" TargetMode="External"/><Relationship Id="rId230" Type="http://schemas.openxmlformats.org/officeDocument/2006/relationships/hyperlink" Target="https://twitter.com/LittleRedZombie/status/1730586803181130164" TargetMode="External"/><Relationship Id="rId351" Type="http://schemas.openxmlformats.org/officeDocument/2006/relationships/hyperlink" Target="https://x.com/LittleRedZombie/status/1738208448838545565" TargetMode="External"/><Relationship Id="rId350" Type="http://schemas.openxmlformats.org/officeDocument/2006/relationships/hyperlink" Target="https://twitter.com/LittleRedZombie/status/1738473331702268151" TargetMode="External"/><Relationship Id="rId114" Type="http://schemas.openxmlformats.org/officeDocument/2006/relationships/hyperlink" Target="https://twitter.com/LittleRedZombie/status/1738767116055007429" TargetMode="External"/><Relationship Id="rId235" Type="http://schemas.openxmlformats.org/officeDocument/2006/relationships/hyperlink" Target="https://x.com/LittleRedZombie/status/1752692581329441185" TargetMode="External"/><Relationship Id="rId356" Type="http://schemas.openxmlformats.org/officeDocument/2006/relationships/hyperlink" Target="https://twitter.com/LittleRedZombie/status/1730586803181130164" TargetMode="External"/><Relationship Id="rId113" Type="http://schemas.openxmlformats.org/officeDocument/2006/relationships/hyperlink" Target="https://x.com/LittleRedZombie/status/1738767116055007429" TargetMode="External"/><Relationship Id="rId234" Type="http://schemas.openxmlformats.org/officeDocument/2006/relationships/hyperlink" Target="https://twitter.com/LittleRedZombie/status/1730150536781897761" TargetMode="External"/><Relationship Id="rId355" Type="http://schemas.openxmlformats.org/officeDocument/2006/relationships/hyperlink" Target="https://x.com/LittleRedZombie/status/1730586803181130164" TargetMode="External"/><Relationship Id="rId112" Type="http://schemas.openxmlformats.org/officeDocument/2006/relationships/hyperlink" Target="https://twitter.com/LittleRedZombie/status/1739211500571726257" TargetMode="External"/><Relationship Id="rId233" Type="http://schemas.openxmlformats.org/officeDocument/2006/relationships/hyperlink" Target="https://x.com/LittleRedZombie/status/1730150536781897761" TargetMode="External"/><Relationship Id="rId354" Type="http://schemas.openxmlformats.org/officeDocument/2006/relationships/hyperlink" Target="https://twitter.com/LittleRedZombie/status/1735164879970209900" TargetMode="External"/><Relationship Id="rId111" Type="http://schemas.openxmlformats.org/officeDocument/2006/relationships/hyperlink" Target="https://x.com/LittleRedZombie/status/1739211500571726257" TargetMode="External"/><Relationship Id="rId232" Type="http://schemas.openxmlformats.org/officeDocument/2006/relationships/hyperlink" Target="https://twitter.com/LittleRedZombie/status/1730583268758851828" TargetMode="External"/><Relationship Id="rId353" Type="http://schemas.openxmlformats.org/officeDocument/2006/relationships/hyperlink" Target="https://x.com/LittleRedZombie/status/1735164879970209900" TargetMode="External"/><Relationship Id="rId305" Type="http://schemas.openxmlformats.org/officeDocument/2006/relationships/hyperlink" Target="https://x.com/LittleRedZombie/status/1730150536781897761" TargetMode="External"/><Relationship Id="rId304" Type="http://schemas.openxmlformats.org/officeDocument/2006/relationships/hyperlink" Target="https://twitter.com/LittleRedZombie/status/1730583268758851828" TargetMode="External"/><Relationship Id="rId303" Type="http://schemas.openxmlformats.org/officeDocument/2006/relationships/hyperlink" Target="https://x.com/LittleRedZombie/status/1730583268758851828" TargetMode="External"/><Relationship Id="rId302" Type="http://schemas.openxmlformats.org/officeDocument/2006/relationships/hyperlink" Target="https://twitter.com/LittleRedZombie/status/1730586803181130164" TargetMode="External"/><Relationship Id="rId309" Type="http://schemas.openxmlformats.org/officeDocument/2006/relationships/hyperlink" Target="https://x.com/LittleRedZombie/status/1739211500571726257" TargetMode="External"/><Relationship Id="rId308" Type="http://schemas.openxmlformats.org/officeDocument/2006/relationships/hyperlink" Target="https://twitter.com/LittleRedZombie/status/1752692581329441185" TargetMode="External"/><Relationship Id="rId307" Type="http://schemas.openxmlformats.org/officeDocument/2006/relationships/hyperlink" Target="https://x.com/LittleRedZombie/status/1752692581329441185" TargetMode="External"/><Relationship Id="rId306" Type="http://schemas.openxmlformats.org/officeDocument/2006/relationships/hyperlink" Target="https://twitter.com/LittleRedZombie/status/1730150536781897761" TargetMode="External"/><Relationship Id="rId301" Type="http://schemas.openxmlformats.org/officeDocument/2006/relationships/hyperlink" Target="https://x.com/LittleRedZombie/status/1730586803181130164" TargetMode="External"/><Relationship Id="rId300" Type="http://schemas.openxmlformats.org/officeDocument/2006/relationships/hyperlink" Target="https://twitter.com/LittleRedZombie/status/1735164879970209900" TargetMode="External"/><Relationship Id="rId206" Type="http://schemas.openxmlformats.org/officeDocument/2006/relationships/hyperlink" Target="https://twitter.com/LittleRedZombie/status/1738473331702268151" TargetMode="External"/><Relationship Id="rId327" Type="http://schemas.openxmlformats.org/officeDocument/2006/relationships/hyperlink" Target="https://x.com/LittleRedZombie/status/1739211500571726257" TargetMode="External"/><Relationship Id="rId205" Type="http://schemas.openxmlformats.org/officeDocument/2006/relationships/hyperlink" Target="https://x.com/LittleRedZombie/status/1738473331702268151" TargetMode="External"/><Relationship Id="rId326" Type="http://schemas.openxmlformats.org/officeDocument/2006/relationships/hyperlink" Target="https://twitter.com/LittleRedZombie/status/1752692581329441185" TargetMode="External"/><Relationship Id="rId204" Type="http://schemas.openxmlformats.org/officeDocument/2006/relationships/hyperlink" Target="https://twitter.com/LittleRedZombie/status/1738767116055007429" TargetMode="External"/><Relationship Id="rId325" Type="http://schemas.openxmlformats.org/officeDocument/2006/relationships/hyperlink" Target="https://x.com/LittleRedZombie/status/1752692581329441185" TargetMode="External"/><Relationship Id="rId203" Type="http://schemas.openxmlformats.org/officeDocument/2006/relationships/hyperlink" Target="https://x.com/LittleRedZombie/status/1738767116055007429" TargetMode="External"/><Relationship Id="rId324" Type="http://schemas.openxmlformats.org/officeDocument/2006/relationships/hyperlink" Target="https://twitter.com/LittleRedZombie/status/1730150536781897761" TargetMode="External"/><Relationship Id="rId209" Type="http://schemas.openxmlformats.org/officeDocument/2006/relationships/hyperlink" Target="https://x.com/LittleRedZombie/status/1735164879970209900" TargetMode="External"/><Relationship Id="rId208" Type="http://schemas.openxmlformats.org/officeDocument/2006/relationships/hyperlink" Target="https://twitter.com/LittleRedZombie/status/1738208448838545565" TargetMode="External"/><Relationship Id="rId329" Type="http://schemas.openxmlformats.org/officeDocument/2006/relationships/hyperlink" Target="https://x.com/LittleRedZombie/status/1738767116055007429" TargetMode="External"/><Relationship Id="rId207" Type="http://schemas.openxmlformats.org/officeDocument/2006/relationships/hyperlink" Target="https://x.com/LittleRedZombie/status/1738208448838545565" TargetMode="External"/><Relationship Id="rId328" Type="http://schemas.openxmlformats.org/officeDocument/2006/relationships/hyperlink" Target="https://twitter.com/LittleRedZombie/status/1739211500571726257" TargetMode="External"/><Relationship Id="rId202" Type="http://schemas.openxmlformats.org/officeDocument/2006/relationships/hyperlink" Target="https://twitter.com/LittleRedZombie/status/1739211500571726257" TargetMode="External"/><Relationship Id="rId323" Type="http://schemas.openxmlformats.org/officeDocument/2006/relationships/hyperlink" Target="https://x.com/LittleRedZombie/status/1730150536781897761" TargetMode="External"/><Relationship Id="rId201" Type="http://schemas.openxmlformats.org/officeDocument/2006/relationships/hyperlink" Target="https://x.com/LittleRedZombie/status/1739211500571726257" TargetMode="External"/><Relationship Id="rId322" Type="http://schemas.openxmlformats.org/officeDocument/2006/relationships/hyperlink" Target="https://twitter.com/LittleRedZombie/status/1730583268758851828" TargetMode="External"/><Relationship Id="rId200" Type="http://schemas.openxmlformats.org/officeDocument/2006/relationships/hyperlink" Target="https://twitter.com/LittleRedZombie/status/1752692581329441185" TargetMode="External"/><Relationship Id="rId321" Type="http://schemas.openxmlformats.org/officeDocument/2006/relationships/hyperlink" Target="https://x.com/LittleRedZombie/status/1730583268758851828" TargetMode="External"/><Relationship Id="rId320" Type="http://schemas.openxmlformats.org/officeDocument/2006/relationships/hyperlink" Target="https://twitter.com/LittleRedZombie/status/1730586803181130164" TargetMode="External"/><Relationship Id="rId316" Type="http://schemas.openxmlformats.org/officeDocument/2006/relationships/hyperlink" Target="https://twitter.com/LittleRedZombie/status/1738208448838545565" TargetMode="External"/><Relationship Id="rId315" Type="http://schemas.openxmlformats.org/officeDocument/2006/relationships/hyperlink" Target="https://x.com/LittleRedZombie/status/1738208448838545565" TargetMode="External"/><Relationship Id="rId314" Type="http://schemas.openxmlformats.org/officeDocument/2006/relationships/hyperlink" Target="https://twitter.com/LittleRedZombie/status/1738473331702268151" TargetMode="External"/><Relationship Id="rId313" Type="http://schemas.openxmlformats.org/officeDocument/2006/relationships/hyperlink" Target="https://x.com/LittleRedZombie/status/1738473331702268151" TargetMode="External"/><Relationship Id="rId319" Type="http://schemas.openxmlformats.org/officeDocument/2006/relationships/hyperlink" Target="https://x.com/LittleRedZombie/status/1730586803181130164" TargetMode="External"/><Relationship Id="rId318" Type="http://schemas.openxmlformats.org/officeDocument/2006/relationships/hyperlink" Target="https://twitter.com/LittleRedZombie/status/1735164879970209900" TargetMode="External"/><Relationship Id="rId317" Type="http://schemas.openxmlformats.org/officeDocument/2006/relationships/hyperlink" Target="https://x.com/LittleRedZombie/status/1735164879970209900" TargetMode="External"/><Relationship Id="rId312" Type="http://schemas.openxmlformats.org/officeDocument/2006/relationships/hyperlink" Target="https://twitter.com/LittleRedZombie/status/1738767116055007429" TargetMode="External"/><Relationship Id="rId311" Type="http://schemas.openxmlformats.org/officeDocument/2006/relationships/hyperlink" Target="https://x.com/LittleRedZombie/status/1738767116055007429" TargetMode="External"/><Relationship Id="rId310" Type="http://schemas.openxmlformats.org/officeDocument/2006/relationships/hyperlink" Target="https://twitter.com/LittleRedZombie/status/173921150057172625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rtstation.com/artwork/YGrvvP" TargetMode="External"/><Relationship Id="rId42" Type="http://schemas.openxmlformats.org/officeDocument/2006/relationships/hyperlink" Target="https://www.artstation.com/artwork/AZvLoV" TargetMode="External"/><Relationship Id="rId41" Type="http://schemas.openxmlformats.org/officeDocument/2006/relationships/hyperlink" Target="https://www.artstation.com/artwork/bgrvBm" TargetMode="External"/><Relationship Id="rId44" Type="http://schemas.openxmlformats.org/officeDocument/2006/relationships/hyperlink" Target="https://www.artstation.com/artwork/dy4wk3" TargetMode="External"/><Relationship Id="rId43" Type="http://schemas.openxmlformats.org/officeDocument/2006/relationships/hyperlink" Target="https://www.artstation.com/artwork/4NyQWl" TargetMode="External"/><Relationship Id="rId46" Type="http://schemas.openxmlformats.org/officeDocument/2006/relationships/hyperlink" Target="https://www.artstation.com/artwork/rl08wO" TargetMode="External"/><Relationship Id="rId45" Type="http://schemas.openxmlformats.org/officeDocument/2006/relationships/hyperlink" Target="https://www.artstation.com/artwork/4NyQG1" TargetMode="External"/><Relationship Id="rId48" Type="http://schemas.openxmlformats.org/officeDocument/2006/relationships/hyperlink" Target="https://www.artstation.com/artwork/5W19zE" TargetMode="External"/><Relationship Id="rId47" Type="http://schemas.openxmlformats.org/officeDocument/2006/relationships/hyperlink" Target="https://www.artstation.com/artwork/WXGoED" TargetMode="External"/><Relationship Id="rId49" Type="http://schemas.openxmlformats.org/officeDocument/2006/relationships/hyperlink" Target="https://www.artstation.com/artwork/4NLNmW" TargetMode="External"/><Relationship Id="rId31" Type="http://schemas.openxmlformats.org/officeDocument/2006/relationships/hyperlink" Target="https://www.artstation.com/artwork/nJ1nl6" TargetMode="External"/><Relationship Id="rId30" Type="http://schemas.openxmlformats.org/officeDocument/2006/relationships/hyperlink" Target="https://www.artstation.com/artwork/nJWxQX" TargetMode="External"/><Relationship Id="rId33" Type="http://schemas.openxmlformats.org/officeDocument/2006/relationships/hyperlink" Target="https://www.artstation.com/artwork/EzOxQe" TargetMode="External"/><Relationship Id="rId32" Type="http://schemas.openxmlformats.org/officeDocument/2006/relationships/hyperlink" Target="https://www.artstation.com/artwork/lGLoGG" TargetMode="External"/><Relationship Id="rId35" Type="http://schemas.openxmlformats.org/officeDocument/2006/relationships/hyperlink" Target="https://www.artstation.com/artwork/x325LO" TargetMode="External"/><Relationship Id="rId34" Type="http://schemas.openxmlformats.org/officeDocument/2006/relationships/hyperlink" Target="https://www.artstation.com/artwork/P6NPYB" TargetMode="External"/><Relationship Id="rId37" Type="http://schemas.openxmlformats.org/officeDocument/2006/relationships/hyperlink" Target="https://www.artstation.com/artwork/XJGv1w" TargetMode="External"/><Relationship Id="rId36" Type="http://schemas.openxmlformats.org/officeDocument/2006/relationships/hyperlink" Target="https://www.artstation.com/artwork/K3EwR9" TargetMode="External"/><Relationship Id="rId39" Type="http://schemas.openxmlformats.org/officeDocument/2006/relationships/hyperlink" Target="https://www.artstation.com/artwork/V2Gvyb" TargetMode="External"/><Relationship Id="rId38" Type="http://schemas.openxmlformats.org/officeDocument/2006/relationships/hyperlink" Target="https://www.artstation.com/artwork/zxXeDQ" TargetMode="External"/><Relationship Id="rId20" Type="http://schemas.openxmlformats.org/officeDocument/2006/relationships/hyperlink" Target="https://www.artstation.com/artwork/WBAQk2" TargetMode="External"/><Relationship Id="rId22" Type="http://schemas.openxmlformats.org/officeDocument/2006/relationships/hyperlink" Target="https://www.artstation.com/artwork/WXR1WE" TargetMode="External"/><Relationship Id="rId21" Type="http://schemas.openxmlformats.org/officeDocument/2006/relationships/hyperlink" Target="https://www.artstation.com/artwork/gREQl8" TargetMode="External"/><Relationship Id="rId24" Type="http://schemas.openxmlformats.org/officeDocument/2006/relationships/hyperlink" Target="https://www.artstation.com/artwork/OvL4ee" TargetMode="External"/><Relationship Id="rId23" Type="http://schemas.openxmlformats.org/officeDocument/2006/relationships/hyperlink" Target="https://www.artstation.com/artwork/bg9Nor" TargetMode="External"/><Relationship Id="rId26" Type="http://schemas.openxmlformats.org/officeDocument/2006/relationships/hyperlink" Target="https://www.artstation.com/artwork/98OJ6o" TargetMode="External"/><Relationship Id="rId25" Type="http://schemas.openxmlformats.org/officeDocument/2006/relationships/hyperlink" Target="https://www.artstation.com/artwork/oJNekO" TargetMode="External"/><Relationship Id="rId28" Type="http://schemas.openxmlformats.org/officeDocument/2006/relationships/hyperlink" Target="https://www.artstation.com/artwork/XJxKgn" TargetMode="External"/><Relationship Id="rId27" Type="http://schemas.openxmlformats.org/officeDocument/2006/relationships/hyperlink" Target="https://www.artstation.com/artwork/98OJ6o" TargetMode="External"/><Relationship Id="rId29" Type="http://schemas.openxmlformats.org/officeDocument/2006/relationships/hyperlink" Target="https://www.artstation.com/artwork/eRxvdX" TargetMode="External"/><Relationship Id="rId11" Type="http://schemas.openxmlformats.org/officeDocument/2006/relationships/hyperlink" Target="https://www.artstation.com/artwork/mAgBzE" TargetMode="External"/><Relationship Id="rId10" Type="http://schemas.openxmlformats.org/officeDocument/2006/relationships/hyperlink" Target="https://www.artstation.com/artwork/Jr5Amm" TargetMode="External"/><Relationship Id="rId13" Type="http://schemas.openxmlformats.org/officeDocument/2006/relationships/hyperlink" Target="https://www.artstation.com/artwork/8BzKWn" TargetMode="External"/><Relationship Id="rId12" Type="http://schemas.openxmlformats.org/officeDocument/2006/relationships/hyperlink" Target="https://www.artstation.com/artwork/OvJnyg" TargetMode="External"/><Relationship Id="rId15" Type="http://schemas.openxmlformats.org/officeDocument/2006/relationships/hyperlink" Target="https://www.artstation.com/artwork/K3EwJx" TargetMode="External"/><Relationship Id="rId14" Type="http://schemas.openxmlformats.org/officeDocument/2006/relationships/hyperlink" Target="https://www.artstation.com/artwork/RKJ1YA" TargetMode="External"/><Relationship Id="rId17" Type="http://schemas.openxmlformats.org/officeDocument/2006/relationships/hyperlink" Target="https://www.artstation.com/artwork/3Egow2" TargetMode="External"/><Relationship Id="rId16" Type="http://schemas.openxmlformats.org/officeDocument/2006/relationships/hyperlink" Target="https://www.artstation.com/artwork/rlWnde" TargetMode="External"/><Relationship Id="rId19" Type="http://schemas.openxmlformats.org/officeDocument/2006/relationships/hyperlink" Target="https://www.artstation.com/artwork/YBAQ6P" TargetMode="External"/><Relationship Id="rId18" Type="http://schemas.openxmlformats.org/officeDocument/2006/relationships/hyperlink" Target="https://www.artstation.com/artwork/WBAQ8y" TargetMode="External"/><Relationship Id="rId1" Type="http://schemas.openxmlformats.org/officeDocument/2006/relationships/hyperlink" Target="https://www.artstation.com/artwork/gJrOym" TargetMode="External"/><Relationship Id="rId2" Type="http://schemas.openxmlformats.org/officeDocument/2006/relationships/hyperlink" Target="https://www.artstation.com/artwork/lGYKya" TargetMode="External"/><Relationship Id="rId3" Type="http://schemas.openxmlformats.org/officeDocument/2006/relationships/hyperlink" Target="https://www.artstation.com/artwork/EzdQ2n" TargetMode="External"/><Relationship Id="rId4" Type="http://schemas.openxmlformats.org/officeDocument/2006/relationships/hyperlink" Target="https://www.artstation.com/artwork/3Egkmo" TargetMode="External"/><Relationship Id="rId9" Type="http://schemas.openxmlformats.org/officeDocument/2006/relationships/hyperlink" Target="https://www.artstation.com/artwork/8Bg94m" TargetMode="External"/><Relationship Id="rId5" Type="http://schemas.openxmlformats.org/officeDocument/2006/relationships/hyperlink" Target="https://www.artstation.com/artwork/GvPYyW" TargetMode="External"/><Relationship Id="rId6" Type="http://schemas.openxmlformats.org/officeDocument/2006/relationships/hyperlink" Target="https://www.artstation.com/artwork/y4PenK" TargetMode="External"/><Relationship Id="rId7" Type="http://schemas.openxmlformats.org/officeDocument/2006/relationships/hyperlink" Target="https://www.artstation.com/artwork/OvKAWe" TargetMode="External"/><Relationship Id="rId8" Type="http://schemas.openxmlformats.org/officeDocument/2006/relationships/hyperlink" Target="https://www.artstation.com/artwork/qJXaDL" TargetMode="External"/><Relationship Id="rId62" Type="http://schemas.openxmlformats.org/officeDocument/2006/relationships/drawing" Target="../drawings/drawing5.xml"/><Relationship Id="rId61" Type="http://schemas.openxmlformats.org/officeDocument/2006/relationships/hyperlink" Target="https://www.artstation.com/artwork/XJxKJ3" TargetMode="External"/><Relationship Id="rId64" Type="http://schemas.openxmlformats.org/officeDocument/2006/relationships/table" Target="../tables/table7.xml"/><Relationship Id="rId60" Type="http://schemas.openxmlformats.org/officeDocument/2006/relationships/hyperlink" Target="https://www.artstation.com/artwork/3E8J9A" TargetMode="External"/><Relationship Id="rId51" Type="http://schemas.openxmlformats.org/officeDocument/2006/relationships/hyperlink" Target="https://www.artstation.com/artwork/0lqlyw" TargetMode="External"/><Relationship Id="rId50" Type="http://schemas.openxmlformats.org/officeDocument/2006/relationships/hyperlink" Target="https://www.artstation.com/artwork/bg4gGr" TargetMode="External"/><Relationship Id="rId53" Type="http://schemas.openxmlformats.org/officeDocument/2006/relationships/hyperlink" Target="https://www.artstation.com/artwork/aY2VN2" TargetMode="External"/><Relationship Id="rId52" Type="http://schemas.openxmlformats.org/officeDocument/2006/relationships/hyperlink" Target="https://www.artstation.com/artwork/Xnm1XL" TargetMode="External"/><Relationship Id="rId55" Type="http://schemas.openxmlformats.org/officeDocument/2006/relationships/hyperlink" Target="https://www.artstation.com/artwork/8wbkBm" TargetMode="External"/><Relationship Id="rId54" Type="http://schemas.openxmlformats.org/officeDocument/2006/relationships/hyperlink" Target="https://www.artstation.com/artwork/9mA5dy" TargetMode="External"/><Relationship Id="rId57" Type="http://schemas.openxmlformats.org/officeDocument/2006/relationships/hyperlink" Target="https://www.artstation.com/artwork/DLO4WG" TargetMode="External"/><Relationship Id="rId56" Type="http://schemas.openxmlformats.org/officeDocument/2006/relationships/hyperlink" Target="https://www.artstation.com/artwork/qJb1PP" TargetMode="External"/><Relationship Id="rId59" Type="http://schemas.openxmlformats.org/officeDocument/2006/relationships/hyperlink" Target="https://www.artstation.com/artwork/0lLJ54" TargetMode="External"/><Relationship Id="rId58" Type="http://schemas.openxmlformats.org/officeDocument/2006/relationships/hyperlink" Target="https://www.artstation.com/artwork/mAW4Z9"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x.com/LittleRedZombie/status/1739211500571726257" TargetMode="External"/><Relationship Id="rId194" Type="http://schemas.openxmlformats.org/officeDocument/2006/relationships/hyperlink" Target="https://x.com/LittleRedZombie/status/1735164879970209900" TargetMode="External"/><Relationship Id="rId193" Type="http://schemas.openxmlformats.org/officeDocument/2006/relationships/hyperlink" Target="https://x.com/LittleRedZombie/status/1738208448838545565" TargetMode="External"/><Relationship Id="rId192" Type="http://schemas.openxmlformats.org/officeDocument/2006/relationships/hyperlink" Target="https://x.com/LittleRedZombie/status/1738473331702268151" TargetMode="External"/><Relationship Id="rId191" Type="http://schemas.openxmlformats.org/officeDocument/2006/relationships/hyperlink" Target="https://x.com/LittleRedZombie/status/1738767116055007429" TargetMode="External"/><Relationship Id="rId187" Type="http://schemas.openxmlformats.org/officeDocument/2006/relationships/hyperlink" Target="https://www.linkedin.com/posts/littleredzombies_avowed-hair-contribution-activity-7444321014265757696-wJrb?utm_source=combined_share_message&amp;utm_medium=member_desktop&amp;rcm=ACoAAAkSQb0Bsc94sZROmun7Rg4RHsXd8c7GfoA" TargetMode="External"/><Relationship Id="rId186" Type="http://schemas.openxmlformats.org/officeDocument/2006/relationships/hyperlink" Target="https://www.linkedin.com/posts/littleredzombies_avowed-creatures-activity-7444683519798288384-yTYK?utm_source=combined_share_message&amp;utm_medium=member_desktop&amp;rcm=ACoAAAkSQb0Bsc94sZROmun7Rg4RHsXd8c7GfoA" TargetMode="External"/><Relationship Id="rId185" Type="http://schemas.openxmlformats.org/officeDocument/2006/relationships/hyperlink" Target="https://www.linkedin.com/posts/littleredzombies_avowed-fauna-activity-7444685096575578112-SPlf?utm_source=combined_share_message&amp;utm_medium=member_desktop&amp;rcm=ACoAAAkSQb0Bsc94sZROmun7Rg4RHsXd8c7GfoA" TargetMode="External"/><Relationship Id="rId184" Type="http://schemas.openxmlformats.org/officeDocument/2006/relationships/hyperlink" Target="https://www.linkedin.com/posts/littleredzombies_xds2026-externaldevelopment-gamedev-activity-7445340519565770752-jWSK?utm_source=combined_share_message&amp;utm_medium=member_desktop&amp;rcm=ACoAAAkSQb0Bsc94sZROmun7Rg4RHsXd8c7GfoA" TargetMode="External"/><Relationship Id="rId189" Type="http://schemas.openxmlformats.org/officeDocument/2006/relationships/hyperlink" Target="https://x.com/LittleRedZombie/status/1752692581329441185" TargetMode="External"/><Relationship Id="rId188" Type="http://schemas.openxmlformats.org/officeDocument/2006/relationships/hyperlink" Target="https://www.linkedin.com/posts/littleredzombies_were-hiring-visual-designer-on-site-activity-7443307875554476032-xjAh?utm_source=combined_share_message&amp;utm_medium=member_desktop&amp;rcm=ACoAAAkSQb0Bsc94sZROmun7Rg4RHsXd8c7GfoA" TargetMode="External"/><Relationship Id="rId183" Type="http://schemas.openxmlformats.org/officeDocument/2006/relationships/hyperlink" Target="https://www.linkedin.com/posts/littleredzombies_celebrating-our-latest-platinum-partners-activity-7448055287036497920-5Orl?utm_source=combined_share_message&amp;utm_medium=member_desktop&amp;rcm=ACoAAAkSQb0Bsc94sZROmun7Rg4RHsXd8c7GfoA" TargetMode="External"/><Relationship Id="rId182" Type="http://schemas.openxmlformats.org/officeDocument/2006/relationships/hyperlink" Target="https://www.linkedin.com/posts/littleredzombies_were-hiring-it-specialist-network-activity-7448365478084771840-ou11?utm_source=combined_share_message&amp;utm_medium=member_desktop&amp;rcm=ACoAAAkSQb0Bsc94sZROmun7Rg4RHsXd8c7GfoA" TargetMode="External"/><Relationship Id="rId181" Type="http://schemas.openxmlformats.org/officeDocument/2006/relationships/hyperlink" Target="https://www.linkedin.com/posts/xds-spark_character-work-at-this-level-shapes-the-final-ugcPost-7454921593027420160-Lyek?utm_source=combined_share_message&amp;utm_medium=member_desktop&amp;rcm=ACoAAAkSQb0Bsc94sZROmun7Rg4RHsXd8c7GfoA" TargetMode="External"/><Relationship Id="rId180" Type="http://schemas.openxmlformats.org/officeDocument/2006/relationships/hyperlink" Target="https://www.linkedin.com/posts/xds-spark_huge-congrats-to-the-xds-spark-members-who-ugcPost-7457849100961726464-kEvH?utm_source=combined_share_message&amp;utm_medium=member_desktop&amp;rcm=ACoAAAkSQb0Bsc94sZROmun7Rg4RHsXd8c7GfoA" TargetMode="External"/><Relationship Id="rId176" Type="http://schemas.openxmlformats.org/officeDocument/2006/relationships/hyperlink" Target="https://www.linkedin.com/posts/littleredzombies_christmas-seasonsgreetings-littleredzombies-activity-7409982843533266944-7pV9?utm_source=combined_share_message&amp;utm_medium=member_desktop&amp;rcm=ACoAADzoKcQBgvVxEtgTp616StYABJvYyT5IbUY" TargetMode="External"/><Relationship Id="rId297" Type="http://schemas.openxmlformats.org/officeDocument/2006/relationships/hyperlink" Target="https://x.com/LittleRedZombie/status/1752692581329441185" TargetMode="External"/><Relationship Id="rId175" Type="http://schemas.openxmlformats.org/officeDocument/2006/relationships/hyperlink" Target="https://www.linkedin.com/posts/littleredzombies_gds-gamedevsummit-gds2026-activity-7420439657164726272-uBmf?utm_source=combined_share_message&amp;utm_medium=member_desktop&amp;rcm=ACoAADzoKcQBgvVxEtgTp616StYABJvYyT5IbUY" TargetMode="External"/><Relationship Id="rId296" Type="http://schemas.openxmlformats.org/officeDocument/2006/relationships/hyperlink" Target="https://x.com/LittleRedZombie/status/1730150536781897761" TargetMode="External"/><Relationship Id="rId174" Type="http://schemas.openxmlformats.org/officeDocument/2006/relationships/hyperlink" Target="https://www.linkedin.com/posts/littleredzombies_the-outer-worlds-2-hair-activity-7425472333852749824-SQWn?utm_source=combined_share_message&amp;utm_medium=member_desktop&amp;rcm=ACoAADzoKcQBgvVxEtgTp616StYABJvYyT5IbUY" TargetMode="External"/><Relationship Id="rId295" Type="http://schemas.openxmlformats.org/officeDocument/2006/relationships/hyperlink" Target="https://x.com/LittleRedZombie/status/1730583268758851828" TargetMode="External"/><Relationship Id="rId173" Type="http://schemas.openxmlformats.org/officeDocument/2006/relationships/hyperlink" Target="https://www.linkedin.com/posts/littleredzombies_gds-gamedevsummit-gds2026-activity-7426981188956856320-nkV7?utm_source=combined_share_message&amp;utm_medium=member_desktop&amp;rcm=ACoAADzoKcQBgvVxEtgTp616StYABJvYyT5IbUY" TargetMode="External"/><Relationship Id="rId294" Type="http://schemas.openxmlformats.org/officeDocument/2006/relationships/hyperlink" Target="https://x.com/LittleRedZombie/status/1730586803181130164" TargetMode="External"/><Relationship Id="rId179" Type="http://schemas.openxmlformats.org/officeDocument/2006/relationships/hyperlink" Target="https://www.linkedin.com/posts/littleredzombies_were-hiring-project-coordinator-hyderabad-activity-7458511707896791040-D6Sv?utm_source=combined_share_message&amp;utm_medium=member_desktop&amp;rcm=ACoAAAkSQb0Bsc94sZROmun7Rg4RHsXd8c7GfoA" TargetMode="External"/><Relationship Id="rId178" Type="http://schemas.openxmlformats.org/officeDocument/2006/relationships/hyperlink" Target="https://www.linkedin.com/posts/littleredzombies_thegameawards-thegameawards2025-tga2025-activity-7404469729119170560-7vUY?utm_source=combined_share_message&amp;utm_medium=member_desktop&amp;rcm=ACoAADzoKcQBgvVxEtgTp616StYABJvYyT5IbUY" TargetMode="External"/><Relationship Id="rId299" Type="http://schemas.openxmlformats.org/officeDocument/2006/relationships/hyperlink" Target="https://x.com/LittleRedZombie/status/1738767116055007429" TargetMode="External"/><Relationship Id="rId177" Type="http://schemas.openxmlformats.org/officeDocument/2006/relationships/hyperlink" Target="https://www.linkedin.com/posts/littleredzombies_hiring-humanresources-recruitment-activity-7405260047292825600-dZOV?utm_source=combined_share_message&amp;utm_medium=member_desktop&amp;rcm=ACoAADzoKcQBgvVxEtgTp616StYABJvYyT5IbUY" TargetMode="External"/><Relationship Id="rId298" Type="http://schemas.openxmlformats.org/officeDocument/2006/relationships/hyperlink" Target="https://x.com/LittleRedZombie/status/1739211500571726257" TargetMode="External"/><Relationship Id="rId198" Type="http://schemas.openxmlformats.org/officeDocument/2006/relationships/hyperlink" Target="https://x.com/LittleRedZombie/status/1752692581329441185" TargetMode="External"/><Relationship Id="rId197" Type="http://schemas.openxmlformats.org/officeDocument/2006/relationships/hyperlink" Target="https://x.com/LittleRedZombie/status/1730150536781897761" TargetMode="External"/><Relationship Id="rId196" Type="http://schemas.openxmlformats.org/officeDocument/2006/relationships/hyperlink" Target="https://x.com/LittleRedZombie/status/1730583268758851828" TargetMode="External"/><Relationship Id="rId195" Type="http://schemas.openxmlformats.org/officeDocument/2006/relationships/hyperlink" Target="https://x.com/LittleRedZombie/status/1730586803181130164" TargetMode="External"/><Relationship Id="rId199" Type="http://schemas.openxmlformats.org/officeDocument/2006/relationships/hyperlink" Target="https://x.com/LittleRedZombie/status/1739211500571726257" TargetMode="External"/><Relationship Id="rId150" Type="http://schemas.openxmlformats.org/officeDocument/2006/relationships/hyperlink" Target="https://www.linkedin.com/posts/littleredzombies_gameart-3dart-characterart-activity-7371536687539281921--1C4?utm_source=combined_share_message&amp;utm_medium=member_desktop&amp;rcm=ACoAAFce_nsBbiRtt68DTPlmsCV_Z5I7to81vX8" TargetMode="External"/><Relationship Id="rId271" Type="http://schemas.openxmlformats.org/officeDocument/2006/relationships/hyperlink" Target="https://x.com/LittleRedZombie/status/1739211500571726257" TargetMode="External"/><Relationship Id="rId392" Type="http://schemas.openxmlformats.org/officeDocument/2006/relationships/hyperlink" Target="https://www.artstation.com/artwork/OvL4ee" TargetMode="External"/><Relationship Id="rId270" Type="http://schemas.openxmlformats.org/officeDocument/2006/relationships/hyperlink" Target="https://x.com/LittleRedZombie/status/1752692581329441185" TargetMode="External"/><Relationship Id="rId391" Type="http://schemas.openxmlformats.org/officeDocument/2006/relationships/hyperlink" Target="https://www.artstation.com/artwork/bg9Nor" TargetMode="External"/><Relationship Id="rId390" Type="http://schemas.openxmlformats.org/officeDocument/2006/relationships/hyperlink" Target="https://www.artstation.com/artwork/WXR1WE" TargetMode="External"/><Relationship Id="rId1" Type="http://schemas.openxmlformats.org/officeDocument/2006/relationships/hyperlink" Target="https://www.instagram.com/p/DSFIFKpEmJE/" TargetMode="External"/><Relationship Id="rId2" Type="http://schemas.openxmlformats.org/officeDocument/2006/relationships/hyperlink" Target="https://www.instagram.com/p/DWgzWT3krsg/" TargetMode="External"/><Relationship Id="rId3" Type="http://schemas.openxmlformats.org/officeDocument/2006/relationships/hyperlink" Target="https://www.instagram.com/p/DRKVsCKEjL9/" TargetMode="External"/><Relationship Id="rId149" Type="http://schemas.openxmlformats.org/officeDocument/2006/relationships/hyperlink" Target="https://www.linkedin.com/posts/littleredzombies_tgs-tokyogameshow-tgs2025-activity-7373698137548500993-gNee?utm_source=combined_share_message&amp;utm_medium=member_desktop&amp;rcm=ACoAAFce_nsBbiRtt68DTPlmsCV_Z5I7to81vX8" TargetMode="External"/><Relationship Id="rId4" Type="http://schemas.openxmlformats.org/officeDocument/2006/relationships/hyperlink" Target="https://www.instagram.com/p/DWgyRJ5ks-I/" TargetMode="External"/><Relationship Id="rId148" Type="http://schemas.openxmlformats.org/officeDocument/2006/relationships/hyperlink" Target="https://www.linkedin.com/posts/littleredzombies_alan-wake-ii-the-lake-house-fbc-hazmat-activity-7354043731521531905-WFHv?utm_source=combined_share_message&amp;utm_medium=member_desktop&amp;rcm=ACoAAGNYwmMBHH05CVFu0KpJR4gGCaJ72HAoAEU" TargetMode="External"/><Relationship Id="rId269" Type="http://schemas.openxmlformats.org/officeDocument/2006/relationships/hyperlink" Target="https://x.com/LittleRedZombie/status/1730150536781897761" TargetMode="External"/><Relationship Id="rId9" Type="http://schemas.openxmlformats.org/officeDocument/2006/relationships/hyperlink" Target="https://www.instagram.com/p/DNDotBzvyck/" TargetMode="External"/><Relationship Id="rId143" Type="http://schemas.openxmlformats.org/officeDocument/2006/relationships/hyperlink" Target="https://www.linkedin.com/posts/littleredzombies_split-fiction-story-characters-hair-activity-7356993617762111488-Wiz8?utm_source=combined_share_message&amp;utm_medium=member_desktop&amp;rcm=ACoAAGNYwmMBHH05CVFu0KpJR4gGCaJ72HAoAEU" TargetMode="External"/><Relationship Id="rId264" Type="http://schemas.openxmlformats.org/officeDocument/2006/relationships/hyperlink" Target="https://x.com/LittleRedZombie/status/1738473331702268151" TargetMode="External"/><Relationship Id="rId385" Type="http://schemas.openxmlformats.org/officeDocument/2006/relationships/hyperlink" Target="https://www.artstation.com/artwork/3Egow2" TargetMode="External"/><Relationship Id="rId142" Type="http://schemas.openxmlformats.org/officeDocument/2006/relationships/hyperlink" Target="https://www.linkedin.com/posts/littleredzombies_split-fiction-story-characters-hair-activity-7356994100388093954-SsvH?utm_source=combined_share_message&amp;utm_medium=member_desktop&amp;rcm=ACoAAGNYwmMBHH05CVFu0KpJR4gGCaJ72HAoAEU" TargetMode="External"/><Relationship Id="rId263" Type="http://schemas.openxmlformats.org/officeDocument/2006/relationships/hyperlink" Target="https://x.com/LittleRedZombie/status/1738767116055007429" TargetMode="External"/><Relationship Id="rId384" Type="http://schemas.openxmlformats.org/officeDocument/2006/relationships/hyperlink" Target="https://www.artstation.com/artwork/rlWnde" TargetMode="External"/><Relationship Id="rId141" Type="http://schemas.openxmlformats.org/officeDocument/2006/relationships/hyperlink" Target="https://www.linkedin.com/posts/littleredzombies_split-fiction-fauna-activity-7359204048111067136-2zV9?utm_source=combined_share_message&amp;utm_medium=member_desktop&amp;rcm=ACoAAGNYwmMBHH05CVFu0KpJR4gGCaJ72HAoAEU" TargetMode="External"/><Relationship Id="rId262" Type="http://schemas.openxmlformats.org/officeDocument/2006/relationships/hyperlink" Target="https://x.com/LittleRedZombie/status/1739211500571726257" TargetMode="External"/><Relationship Id="rId383" Type="http://schemas.openxmlformats.org/officeDocument/2006/relationships/hyperlink" Target="https://www.artstation.com/artwork/K3EwJx" TargetMode="External"/><Relationship Id="rId140" Type="http://schemas.openxmlformats.org/officeDocument/2006/relationships/hyperlink" Target="https://www.linkedin.com/posts/littleredzombies_split-fiction-fauna-activity-7359204511673958400-k_Eb?utm_source=combined_share_message&amp;utm_medium=member_desktop&amp;rcm=ACoAAGNYwmMBHH05CVFu0KpJR4gGCaJ72HAoAEU" TargetMode="External"/><Relationship Id="rId261" Type="http://schemas.openxmlformats.org/officeDocument/2006/relationships/hyperlink" Target="https://x.com/LittleRedZombie/status/1752692581329441185" TargetMode="External"/><Relationship Id="rId382" Type="http://schemas.openxmlformats.org/officeDocument/2006/relationships/hyperlink" Target="https://www.artstation.com/artwork/RKJ1YA" TargetMode="External"/><Relationship Id="rId5" Type="http://schemas.openxmlformats.org/officeDocument/2006/relationships/hyperlink" Target="https://www.instagram.com/p/DSsTgwHktZh/" TargetMode="External"/><Relationship Id="rId147" Type="http://schemas.openxmlformats.org/officeDocument/2006/relationships/hyperlink" Target="https://www.linkedin.com/posts/littleredzombies_alan-wake-ii-the-lake-house-dr-diana-activity-7354444215558311936-syWg?utm_source=combined_share_message&amp;utm_medium=member_desktop&amp;rcm=ACoAAGNYwmMBHH05CVFu0KpJR4gGCaJ72HAoAEU" TargetMode="External"/><Relationship Id="rId268" Type="http://schemas.openxmlformats.org/officeDocument/2006/relationships/hyperlink" Target="https://x.com/LittleRedZombie/status/1730583268758851828" TargetMode="External"/><Relationship Id="rId389" Type="http://schemas.openxmlformats.org/officeDocument/2006/relationships/hyperlink" Target="https://www.artstation.com/artwork/gREQl8" TargetMode="External"/><Relationship Id="rId6" Type="http://schemas.openxmlformats.org/officeDocument/2006/relationships/hyperlink" Target="https://www.instagram.com/p/DWmBus7Et7y/" TargetMode="External"/><Relationship Id="rId146" Type="http://schemas.openxmlformats.org/officeDocument/2006/relationships/hyperlink" Target="https://www.linkedin.com/posts/littleredzombies_split-fiction-zoe-the-fairy-hair-activity-7356671351224496130-cRrm?utm_source=combined_share_message&amp;utm_medium=member_desktop&amp;rcm=ACoAAGNYwmMBHH05CVFu0KpJR4gGCaJ72HAoAEU" TargetMode="External"/><Relationship Id="rId267" Type="http://schemas.openxmlformats.org/officeDocument/2006/relationships/hyperlink" Target="https://x.com/LittleRedZombie/status/1730586803181130164" TargetMode="External"/><Relationship Id="rId388" Type="http://schemas.openxmlformats.org/officeDocument/2006/relationships/hyperlink" Target="https://www.artstation.com/artwork/WBAQk2" TargetMode="External"/><Relationship Id="rId7" Type="http://schemas.openxmlformats.org/officeDocument/2006/relationships/hyperlink" Target="https://www.instagram.com/p/DUlLKZVkmno/" TargetMode="External"/><Relationship Id="rId145" Type="http://schemas.openxmlformats.org/officeDocument/2006/relationships/hyperlink" Target="https://www.linkedin.com/posts/littleredzombies_split-fiction-mio-hair-activity-7356673400955703296-eIMk?utm_source=combined_share_message&amp;utm_medium=member_desktop&amp;rcm=ACoAAGNYwmMBHH05CVFu0KpJR4gGCaJ72HAoAEU" TargetMode="External"/><Relationship Id="rId266" Type="http://schemas.openxmlformats.org/officeDocument/2006/relationships/hyperlink" Target="https://x.com/LittleRedZombie/status/1735164879970209900" TargetMode="External"/><Relationship Id="rId387" Type="http://schemas.openxmlformats.org/officeDocument/2006/relationships/hyperlink" Target="https://www.artstation.com/artwork/YBAQ6P" TargetMode="External"/><Relationship Id="rId8" Type="http://schemas.openxmlformats.org/officeDocument/2006/relationships/hyperlink" Target="https://www.instagram.com/p/DWmBTRAkoMZ/" TargetMode="External"/><Relationship Id="rId144" Type="http://schemas.openxmlformats.org/officeDocument/2006/relationships/hyperlink" Target="https://www.linkedin.com/posts/littleredzombies_split-fiction-rader-hair-activity-7356677461302005760-RwHQ?utm_source=combined_share_message&amp;utm_medium=member_desktop&amp;rcm=ACoAAGNYwmMBHH05CVFu0KpJR4gGCaJ72HAoAEU" TargetMode="External"/><Relationship Id="rId265" Type="http://schemas.openxmlformats.org/officeDocument/2006/relationships/hyperlink" Target="https://x.com/LittleRedZombie/status/1738208448838545565" TargetMode="External"/><Relationship Id="rId386" Type="http://schemas.openxmlformats.org/officeDocument/2006/relationships/hyperlink" Target="https://www.artstation.com/artwork/WBAQ8y" TargetMode="External"/><Relationship Id="rId260" Type="http://schemas.openxmlformats.org/officeDocument/2006/relationships/hyperlink" Target="https://x.com/LittleRedZombie/status/1730150536781897761" TargetMode="External"/><Relationship Id="rId381" Type="http://schemas.openxmlformats.org/officeDocument/2006/relationships/hyperlink" Target="https://www.artstation.com/artwork/8BzKWn" TargetMode="External"/><Relationship Id="rId380" Type="http://schemas.openxmlformats.org/officeDocument/2006/relationships/hyperlink" Target="https://www.artstation.com/artwork/OvJnyg" TargetMode="External"/><Relationship Id="rId139" Type="http://schemas.openxmlformats.org/officeDocument/2006/relationships/hyperlink" Target="https://www.linkedin.com/posts/littleredzombies_split-fiction-playable-story-characters-activity-7359205919697637376-Q91u?utm_source=combined_share_message&amp;utm_medium=member_desktop&amp;rcm=ACoAAGNYwmMBHH05CVFu0KpJR4gGCaJ72HAoAEU" TargetMode="External"/><Relationship Id="rId138" Type="http://schemas.openxmlformats.org/officeDocument/2006/relationships/hyperlink" Target="https://www.linkedin.com/posts/littleredzombies_xds2025-xds-externaldevelopmentsummit-activity-7350848914595475456-tdWe?utm_source=combined_share_message&amp;utm_medium=member_desktop&amp;rcm=ACoAACeKeD0BuF80SqXQzZ7zQPkO3myaeSLGXW4" TargetMode="External"/><Relationship Id="rId259" Type="http://schemas.openxmlformats.org/officeDocument/2006/relationships/hyperlink" Target="https://x.com/LittleRedZombie/status/1730583268758851828" TargetMode="External"/><Relationship Id="rId137" Type="http://schemas.openxmlformats.org/officeDocument/2006/relationships/hyperlink" Target="https://www.linkedin.com/posts/littleredzombies_littleredzombies-ghosttownvr-fireproofstudios-activity-7351609223690059779-mawJ?utm_source=combined_share_message&amp;utm_medium=member_desktop&amp;rcm=ACoAACeKeD0BuF80SqXQzZ7zQPkO3myaeSLGXW4" TargetMode="External"/><Relationship Id="rId258" Type="http://schemas.openxmlformats.org/officeDocument/2006/relationships/hyperlink" Target="https://x.com/LittleRedZombie/status/1730586803181130164" TargetMode="External"/><Relationship Id="rId379" Type="http://schemas.openxmlformats.org/officeDocument/2006/relationships/hyperlink" Target="https://www.artstation.com/artwork/mAgBzE" TargetMode="External"/><Relationship Id="rId132" Type="http://schemas.openxmlformats.org/officeDocument/2006/relationships/hyperlink" Target="https://www.instagram.com/p/Cj--_cwPfsz/" TargetMode="External"/><Relationship Id="rId253" Type="http://schemas.openxmlformats.org/officeDocument/2006/relationships/hyperlink" Target="https://x.com/LittleRedZombie/status/1739211500571726257" TargetMode="External"/><Relationship Id="rId374" Type="http://schemas.openxmlformats.org/officeDocument/2006/relationships/hyperlink" Target="https://www.artstation.com/artwork/y4PenK" TargetMode="External"/><Relationship Id="rId131" Type="http://schemas.openxmlformats.org/officeDocument/2006/relationships/hyperlink" Target="https://www.instagram.com/p/CTe_XYxpf_u/" TargetMode="External"/><Relationship Id="rId252" Type="http://schemas.openxmlformats.org/officeDocument/2006/relationships/hyperlink" Target="https://x.com/LittleRedZombie/status/1752692581329441185" TargetMode="External"/><Relationship Id="rId373" Type="http://schemas.openxmlformats.org/officeDocument/2006/relationships/hyperlink" Target="https://www.artstation.com/artwork/GvPYyW" TargetMode="External"/><Relationship Id="rId130" Type="http://schemas.openxmlformats.org/officeDocument/2006/relationships/hyperlink" Target="https://www.instagram.com/p/CT7Xfy2PgU-/" TargetMode="External"/><Relationship Id="rId251" Type="http://schemas.openxmlformats.org/officeDocument/2006/relationships/hyperlink" Target="https://x.com/LittleRedZombie/status/1730150536781897761" TargetMode="External"/><Relationship Id="rId372" Type="http://schemas.openxmlformats.org/officeDocument/2006/relationships/hyperlink" Target="https://www.artstation.com/artwork/3Egkmo" TargetMode="External"/><Relationship Id="rId250" Type="http://schemas.openxmlformats.org/officeDocument/2006/relationships/hyperlink" Target="https://x.com/LittleRedZombie/status/1730583268758851828" TargetMode="External"/><Relationship Id="rId371" Type="http://schemas.openxmlformats.org/officeDocument/2006/relationships/hyperlink" Target="https://www.artstation.com/artwork/EzdQ2n" TargetMode="External"/><Relationship Id="rId136" Type="http://schemas.openxmlformats.org/officeDocument/2006/relationships/hyperlink" Target="https://www.linkedin.com/posts/littleredzombies_alan-wake-ii-the-lake-house-fbc-scientist-activity-7354041867782533120-DnI5?utm_source=combined_share_message&amp;utm_medium=member_desktop&amp;rcm=ACoAACeKeD0BuF80SqXQzZ7zQPkO3myaeSLGXW4" TargetMode="External"/><Relationship Id="rId257" Type="http://schemas.openxmlformats.org/officeDocument/2006/relationships/hyperlink" Target="https://x.com/LittleRedZombie/status/1735164879970209900" TargetMode="External"/><Relationship Id="rId378" Type="http://schemas.openxmlformats.org/officeDocument/2006/relationships/hyperlink" Target="https://www.artstation.com/artwork/Jr5Amm" TargetMode="External"/><Relationship Id="rId135" Type="http://schemas.openxmlformats.org/officeDocument/2006/relationships/hyperlink" Target="https://www.instagram.com/p/CUPl5xxP5_6/" TargetMode="External"/><Relationship Id="rId256" Type="http://schemas.openxmlformats.org/officeDocument/2006/relationships/hyperlink" Target="https://x.com/LittleRedZombie/status/1738208448838545565" TargetMode="External"/><Relationship Id="rId377" Type="http://schemas.openxmlformats.org/officeDocument/2006/relationships/hyperlink" Target="https://www.artstation.com/artwork/8Bg94m" TargetMode="External"/><Relationship Id="rId134" Type="http://schemas.openxmlformats.org/officeDocument/2006/relationships/hyperlink" Target="https://www.instagram.com/p/CVvvSpRKMrY/" TargetMode="External"/><Relationship Id="rId255" Type="http://schemas.openxmlformats.org/officeDocument/2006/relationships/hyperlink" Target="https://x.com/LittleRedZombie/status/1738473331702268151" TargetMode="External"/><Relationship Id="rId376" Type="http://schemas.openxmlformats.org/officeDocument/2006/relationships/hyperlink" Target="https://www.artstation.com/artwork/qJXaDL" TargetMode="External"/><Relationship Id="rId133" Type="http://schemas.openxmlformats.org/officeDocument/2006/relationships/hyperlink" Target="https://www.instagram.com/p/Ca2Dj-7Pgxq/" TargetMode="External"/><Relationship Id="rId254" Type="http://schemas.openxmlformats.org/officeDocument/2006/relationships/hyperlink" Target="https://x.com/LittleRedZombie/status/1738767116055007429" TargetMode="External"/><Relationship Id="rId375" Type="http://schemas.openxmlformats.org/officeDocument/2006/relationships/hyperlink" Target="https://www.artstation.com/artwork/OvKAWe" TargetMode="External"/><Relationship Id="rId172" Type="http://schemas.openxmlformats.org/officeDocument/2006/relationships/hyperlink" Target="https://www.linkedin.com/posts/littleredzombies_were-hiring-technical-animator-on-activity-7427366358344007680-lqWt?utm_source=combined_share_message&amp;utm_medium=member_desktop&amp;rcm=ACoAADzoKcQBgvVxEtgTp616StYABJvYyT5IbUY" TargetMode="External"/><Relationship Id="rId293" Type="http://schemas.openxmlformats.org/officeDocument/2006/relationships/hyperlink" Target="https://x.com/LittleRedZombie/status/1735164879970209900" TargetMode="External"/><Relationship Id="rId171" Type="http://schemas.openxmlformats.org/officeDocument/2006/relationships/hyperlink" Target="https://www.linkedin.com/posts/littleredzombies_were-hiring-hr-associate-on-site-activity-7429167291441008640-xjx2?utm_source=combined_share_message&amp;utm_medium=member_desktop&amp;rcm=ACoAADzoKcQBgvVxEtgTp616StYABJvYyT5IbUY" TargetMode="External"/><Relationship Id="rId292" Type="http://schemas.openxmlformats.org/officeDocument/2006/relationships/hyperlink" Target="https://x.com/LittleRedZombie/status/1738208448838545565" TargetMode="External"/><Relationship Id="rId170" Type="http://schemas.openxmlformats.org/officeDocument/2006/relationships/hyperlink" Target="https://www.linkedin.com/posts/littleredzombies_were-excited-to-share-that-little-red-zombies-activity-7439180119367163904-PoOX?utm_source=combined_share_message&amp;utm_medium=member_desktop&amp;rcm=ACoAADzoKcQBgvVxEtgTp616StYABJvYyT5IbUY" TargetMode="External"/><Relationship Id="rId291" Type="http://schemas.openxmlformats.org/officeDocument/2006/relationships/hyperlink" Target="https://x.com/LittleRedZombie/status/1738473331702268151" TargetMode="External"/><Relationship Id="rId290" Type="http://schemas.openxmlformats.org/officeDocument/2006/relationships/hyperlink" Target="https://x.com/LittleRedZombie/status/1738767116055007429" TargetMode="External"/><Relationship Id="rId165" Type="http://schemas.openxmlformats.org/officeDocument/2006/relationships/hyperlink" Target="https://www.linkedin.com/posts/littleredzombies_littleredzombies-lrz-halloween-activity-7390408528647184384-Ra7S?utm_source=combined_share_message&amp;utm_medium=member_desktop&amp;rcm=ACoAAFce_nsBbiRtt68DTPlmsCV_Z5I7to81vX8" TargetMode="External"/><Relationship Id="rId286" Type="http://schemas.openxmlformats.org/officeDocument/2006/relationships/hyperlink" Target="https://x.com/LittleRedZombie/status/1730583268758851828" TargetMode="External"/><Relationship Id="rId164" Type="http://schemas.openxmlformats.org/officeDocument/2006/relationships/hyperlink" Target="https://www.linkedin.com/posts/littleredzombies_migs-migs25-migs2025-activity-7391423416345493504-8MFQ?utm_source=combined_share_message&amp;utm_medium=member_desktop&amp;rcm=ACoAAFce_nsBbiRtt68DTPlmsCV_Z5I7to81vX8" TargetMode="External"/><Relationship Id="rId285" Type="http://schemas.openxmlformats.org/officeDocument/2006/relationships/hyperlink" Target="https://x.com/LittleRedZombie/status/1730586803181130164" TargetMode="External"/><Relationship Id="rId163" Type="http://schemas.openxmlformats.org/officeDocument/2006/relationships/hyperlink" Target="https://www.linkedin.com/posts/littleredzombies_the-outer-worlds-2-has-landed-discover-activity-7391757190388314112-wprO?utm_source=combined_share_message&amp;utm_medium=member_desktop&amp;rcm=ACoAAFce_nsBbiRtt68DTPlmsCV_Z5I7to81vX8" TargetMode="External"/><Relationship Id="rId284" Type="http://schemas.openxmlformats.org/officeDocument/2006/relationships/hyperlink" Target="https://x.com/LittleRedZombie/status/1735164879970209900" TargetMode="External"/><Relationship Id="rId162" Type="http://schemas.openxmlformats.org/officeDocument/2006/relationships/hyperlink" Target="https://www.linkedin.com/posts/littleredzombies_callofduty-callofdutyblackops-callofdutyblackops7-activity-7396191181174444032-0KLd?utm_source=combined_share_message&amp;utm_medium=member_desktop&amp;rcm=ACoAAFce_nsBbiRtt68DTPlmsCV_Z5I7to81vX8" TargetMode="External"/><Relationship Id="rId283" Type="http://schemas.openxmlformats.org/officeDocument/2006/relationships/hyperlink" Target="https://x.com/LittleRedZombie/status/1738208448838545565" TargetMode="External"/><Relationship Id="rId169" Type="http://schemas.openxmlformats.org/officeDocument/2006/relationships/hyperlink" Target="https://www.linkedin.com/posts/littleredzombies_hiring-facilitymanagement-operations-activity-7439648897771229187-1ekl?utm_source=combined_share_message&amp;utm_medium=member_desktop&amp;rcm=ACoAADzoKcQBgvVxEtgTp616StYABJvYyT5IbUY" TargetMode="External"/><Relationship Id="rId168" Type="http://schemas.openxmlformats.org/officeDocument/2006/relationships/hyperlink" Target="https://www.linkedin.com/posts/littleredzombies_tgs-tgs2025-tokyogameshow-activity-7377333403899088897-2Amy?utm_source=combined_share_message&amp;utm_medium=member_desktop&amp;rcm=ACoAAFce_nsBbiRtt68DTPlmsCV_Z5I7to81vX8" TargetMode="External"/><Relationship Id="rId289" Type="http://schemas.openxmlformats.org/officeDocument/2006/relationships/hyperlink" Target="https://x.com/LittleRedZombie/status/1739211500571726257" TargetMode="External"/><Relationship Id="rId167" Type="http://schemas.openxmlformats.org/officeDocument/2006/relationships/hyperlink" Target="https://www.linkedin.com/posts/littleredzombies_were-proud-to-spotlight-little-red-zombies-activity-7384829687950135296-8kL_?utm_source=combined_share_message&amp;utm_medium=member_desktop&amp;rcm=ACoAAFce_nsBbiRtt68DTPlmsCV_Z5I7to81vX8" TargetMode="External"/><Relationship Id="rId288" Type="http://schemas.openxmlformats.org/officeDocument/2006/relationships/hyperlink" Target="https://x.com/LittleRedZombie/status/1752692581329441185" TargetMode="External"/><Relationship Id="rId166" Type="http://schemas.openxmlformats.org/officeDocument/2006/relationships/hyperlink" Target="https://www.linkedin.com/posts/littleredzombies_from-all-of-us-at-little-red-zombies-wishing-activity-7384957275121307648-FlXE?utm_source=combined_share_message&amp;utm_medium=member_desktop&amp;rcm=ACoAAFce_nsBbiRtt68DTPlmsCV_Z5I7to81vX8" TargetMode="External"/><Relationship Id="rId287" Type="http://schemas.openxmlformats.org/officeDocument/2006/relationships/hyperlink" Target="https://x.com/LittleRedZombie/status/1730150536781897761" TargetMode="External"/><Relationship Id="rId161" Type="http://schemas.openxmlformats.org/officeDocument/2006/relationships/hyperlink" Target="https://www.linkedin.com/posts/littleredzombies_call-of-duty-black-ops-7-has-landed-discover-activity-7397143995300143104-NnA8?utm_source=combined_share_message&amp;utm_medium=member_desktop&amp;rcm=ACoAAFce_nsBbiRtt68DTPlmsCV_Z5I7to81vX8" TargetMode="External"/><Relationship Id="rId282" Type="http://schemas.openxmlformats.org/officeDocument/2006/relationships/hyperlink" Target="https://x.com/LittleRedZombie/status/1738473331702268151" TargetMode="External"/><Relationship Id="rId160" Type="http://schemas.openxmlformats.org/officeDocument/2006/relationships/hyperlink" Target="https://www.linkedin.com/posts/littleredzombies_migs2025-migs-gameart-activity-7399773441941409792-ul1g?utm_source=combined_share_message&amp;utm_medium=member_desktop&amp;rcm=ACoAAFce_nsBbiRtt68DTPlmsCV_Z5I7to81vX8" TargetMode="External"/><Relationship Id="rId281" Type="http://schemas.openxmlformats.org/officeDocument/2006/relationships/hyperlink" Target="https://x.com/LittleRedZombie/status/1738767116055007429" TargetMode="External"/><Relationship Id="rId280" Type="http://schemas.openxmlformats.org/officeDocument/2006/relationships/hyperlink" Target="https://x.com/LittleRedZombie/status/1739211500571726257" TargetMode="External"/><Relationship Id="rId159" Type="http://schemas.openxmlformats.org/officeDocument/2006/relationships/hyperlink" Target="https://www.linkedin.com/posts/littleredzombies_gamedev-analytics-hiring-activity-7403807110196621312-jqKx?utm_source=combined_share_message&amp;utm_medium=member_desktop&amp;rcm=ACoAAFce_nsBbiRtt68DTPlmsCV_Z5I7to81vX8" TargetMode="External"/><Relationship Id="rId154" Type="http://schemas.openxmlformats.org/officeDocument/2006/relationships/hyperlink" Target="https://www.linkedin.com/posts/littleredzombies_xds-xds2025-externaldevelopmentsummit-activity-7366003457884868609-ZncY?utm_source=combined_share_message&amp;utm_medium=member_desktop&amp;rcm=ACoAAFce_nsBbiRtt68DTPlmsCV_Z5I7to81vX8" TargetMode="External"/><Relationship Id="rId275" Type="http://schemas.openxmlformats.org/officeDocument/2006/relationships/hyperlink" Target="https://x.com/LittleRedZombie/status/1735164879970209900" TargetMode="External"/><Relationship Id="rId396" Type="http://schemas.openxmlformats.org/officeDocument/2006/relationships/hyperlink" Target="https://www.artstation.com/artwork/XJxKgn" TargetMode="External"/><Relationship Id="rId153" Type="http://schemas.openxmlformats.org/officeDocument/2006/relationships/hyperlink" Target="https://www.linkedin.com/posts/littleredzombies_were-hiring-project-managers-little-activity-7367794031113793536-4C3-?utm_source=combined_share_message&amp;utm_medium=member_desktop&amp;rcm=ACoAAFce_nsBbiRtt68DTPlmsCV_Z5I7to81vX8" TargetMode="External"/><Relationship Id="rId274" Type="http://schemas.openxmlformats.org/officeDocument/2006/relationships/hyperlink" Target="https://x.com/LittleRedZombie/status/1738208448838545565" TargetMode="External"/><Relationship Id="rId395" Type="http://schemas.openxmlformats.org/officeDocument/2006/relationships/hyperlink" Target="https://www.artstation.com/artwork/98OJ6o" TargetMode="External"/><Relationship Id="rId152" Type="http://schemas.openxmlformats.org/officeDocument/2006/relationships/hyperlink" Target="https://www.linkedin.com/posts/littleredzombies_xds-xds2025-gamedev-activity-7370806403491536896-6QdO?utm_source=combined_share_message&amp;utm_medium=member_desktop&amp;rcm=ACoAAFce_nsBbiRtt68DTPlmsCV_Z5I7to81vX8" TargetMode="External"/><Relationship Id="rId273" Type="http://schemas.openxmlformats.org/officeDocument/2006/relationships/hyperlink" Target="https://x.com/LittleRedZombie/status/1738473331702268151" TargetMode="External"/><Relationship Id="rId394" Type="http://schemas.openxmlformats.org/officeDocument/2006/relationships/hyperlink" Target="https://www.artstation.com/artwork/98OJ6o" TargetMode="External"/><Relationship Id="rId151" Type="http://schemas.openxmlformats.org/officeDocument/2006/relationships/hyperlink" Target="https://www.linkedin.com/posts/littleredzombies_gameart-3dart-characterart-activity-7371177157705916416-I8A8?utm_source=combined_share_message&amp;utm_medium=member_desktop&amp;rcm=ACoAAFce_nsBbiRtt68DTPlmsCV_Z5I7to81vX8" TargetMode="External"/><Relationship Id="rId272" Type="http://schemas.openxmlformats.org/officeDocument/2006/relationships/hyperlink" Target="https://x.com/LittleRedZombie/status/1738767116055007429" TargetMode="External"/><Relationship Id="rId393" Type="http://schemas.openxmlformats.org/officeDocument/2006/relationships/hyperlink" Target="https://www.artstation.com/artwork/oJNekO" TargetMode="External"/><Relationship Id="rId158" Type="http://schemas.openxmlformats.org/officeDocument/2006/relationships/hyperlink" Target="https://www.linkedin.com/posts/littleredzombies_split-fiction-ice-king-fur-activity-7359206563145764864-eG6U?utm_source=combined_share_message&amp;utm_medium=member_desktop&amp;rcm=ACoAAFce_nsBbiRtt68DTPlmsCV_Z5I7to81vX8" TargetMode="External"/><Relationship Id="rId279" Type="http://schemas.openxmlformats.org/officeDocument/2006/relationships/hyperlink" Target="https://x.com/LittleRedZombie/status/1752692581329441185" TargetMode="External"/><Relationship Id="rId157" Type="http://schemas.openxmlformats.org/officeDocument/2006/relationships/hyperlink" Target="https://www.linkedin.com/posts/littleredzombies_pax-dei-medieval-armor-tabard-activity-7364272247403917313-is6O?utm_source=combined_share_message&amp;utm_medium=member_desktop&amp;rcm=ACoAAFce_nsBbiRtt68DTPlmsCV_Z5I7to81vX8" TargetMode="External"/><Relationship Id="rId278" Type="http://schemas.openxmlformats.org/officeDocument/2006/relationships/hyperlink" Target="https://x.com/LittleRedZombie/status/1730150536781897761" TargetMode="External"/><Relationship Id="rId399" Type="http://schemas.openxmlformats.org/officeDocument/2006/relationships/hyperlink" Target="https://www.artstation.com/artwork/nJ1nl6" TargetMode="External"/><Relationship Id="rId156" Type="http://schemas.openxmlformats.org/officeDocument/2006/relationships/hyperlink" Target="https://www.linkedin.com/posts/littleredzombies_pax-dei-doublet-leather-armor-activity-7364273896230957056-LtJC?utm_source=combined_share_message&amp;utm_medium=member_desktop&amp;rcm=ACoAAFce_nsBbiRtt68DTPlmsCV_Z5I7to81vX8" TargetMode="External"/><Relationship Id="rId277" Type="http://schemas.openxmlformats.org/officeDocument/2006/relationships/hyperlink" Target="https://x.com/LittleRedZombie/status/1730583268758851828" TargetMode="External"/><Relationship Id="rId398" Type="http://schemas.openxmlformats.org/officeDocument/2006/relationships/hyperlink" Target="https://www.artstation.com/artwork/nJWxQX" TargetMode="External"/><Relationship Id="rId155" Type="http://schemas.openxmlformats.org/officeDocument/2006/relationships/hyperlink" Target="https://www.linkedin.com/posts/littleredzombies_pax-dei-blacksmith-activity-7364274316663795712-4NQr?utm_source=combined_share_message&amp;utm_medium=member_desktop&amp;rcm=ACoAAFce_nsBbiRtt68DTPlmsCV_Z5I7to81vX8" TargetMode="External"/><Relationship Id="rId276" Type="http://schemas.openxmlformats.org/officeDocument/2006/relationships/hyperlink" Target="https://x.com/LittleRedZombie/status/1730586803181130164" TargetMode="External"/><Relationship Id="rId397" Type="http://schemas.openxmlformats.org/officeDocument/2006/relationships/hyperlink" Target="https://www.artstation.com/artwork/eRxvdX" TargetMode="External"/><Relationship Id="rId40" Type="http://schemas.openxmlformats.org/officeDocument/2006/relationships/hyperlink" Target="https://www.instagram.com/p/DIB2MUKPVJK/" TargetMode="External"/><Relationship Id="rId42" Type="http://schemas.openxmlformats.org/officeDocument/2006/relationships/hyperlink" Target="https://www.instagram.com/p/DH6ERglP4HC/" TargetMode="External"/><Relationship Id="rId41" Type="http://schemas.openxmlformats.org/officeDocument/2006/relationships/hyperlink" Target="https://www.instagram.com/p/DIMFbNuPaGq/" TargetMode="External"/><Relationship Id="rId44" Type="http://schemas.openxmlformats.org/officeDocument/2006/relationships/hyperlink" Target="https://www.instagram.com/p/DIBfKnjPaca/" TargetMode="External"/><Relationship Id="rId43" Type="http://schemas.openxmlformats.org/officeDocument/2006/relationships/hyperlink" Target="https://www.instagram.com/p/DIRLk-xvI3R/" TargetMode="External"/><Relationship Id="rId46" Type="http://schemas.openxmlformats.org/officeDocument/2006/relationships/hyperlink" Target="https://www.instagram.com/p/DH6DdBfv4KQ/" TargetMode="External"/><Relationship Id="rId45" Type="http://schemas.openxmlformats.org/officeDocument/2006/relationships/hyperlink" Target="https://www.instagram.com/p/DH_NakmPF2P/" TargetMode="External"/><Relationship Id="rId48" Type="http://schemas.openxmlformats.org/officeDocument/2006/relationships/hyperlink" Target="https://www.instagram.com/p/DHTce04vyrf/" TargetMode="External"/><Relationship Id="rId47" Type="http://schemas.openxmlformats.org/officeDocument/2006/relationships/hyperlink" Target="https://www.instagram.com/p/DNDoON_vXWF/" TargetMode="External"/><Relationship Id="rId49" Type="http://schemas.openxmlformats.org/officeDocument/2006/relationships/hyperlink" Target="https://www.instagram.com/p/DHWJb3zyxm5/" TargetMode="External"/><Relationship Id="rId31" Type="http://schemas.openxmlformats.org/officeDocument/2006/relationships/hyperlink" Target="https://www.instagram.com/p/DPEVVGrEuen/" TargetMode="External"/><Relationship Id="rId30" Type="http://schemas.openxmlformats.org/officeDocument/2006/relationships/hyperlink" Target="https://www.instagram.com/p/DNnj5ZHPWM3/" TargetMode="External"/><Relationship Id="rId33" Type="http://schemas.openxmlformats.org/officeDocument/2006/relationships/hyperlink" Target="https://www.instagram.com/p/DT2noQ_kqS4/" TargetMode="External"/><Relationship Id="rId32" Type="http://schemas.openxmlformats.org/officeDocument/2006/relationships/hyperlink" Target="https://www.instagram.com/p/DNDoYiCPpMG/" TargetMode="External"/><Relationship Id="rId35" Type="http://schemas.openxmlformats.org/officeDocument/2006/relationships/hyperlink" Target="https://www.instagram.com/p/DMxmzVkPUyr/" TargetMode="External"/><Relationship Id="rId34" Type="http://schemas.openxmlformats.org/officeDocument/2006/relationships/hyperlink" Target="https://www.instagram.com/p/DMz0ufwvrOT/" TargetMode="External"/><Relationship Id="rId37" Type="http://schemas.openxmlformats.org/officeDocument/2006/relationships/hyperlink" Target="https://www.instagram.com/p/DH8eMVtPqmB/" TargetMode="External"/><Relationship Id="rId36" Type="http://schemas.openxmlformats.org/officeDocument/2006/relationships/hyperlink" Target="https://www.instagram.com/p/DH5yq6fPXaw/" TargetMode="External"/><Relationship Id="rId39" Type="http://schemas.openxmlformats.org/officeDocument/2006/relationships/hyperlink" Target="https://www.instagram.com/p/DH8w7O_qjra/" TargetMode="External"/><Relationship Id="rId38" Type="http://schemas.openxmlformats.org/officeDocument/2006/relationships/hyperlink" Target="https://www.instagram.com/p/DIeE5rSPYqu/" TargetMode="External"/><Relationship Id="rId20" Type="http://schemas.openxmlformats.org/officeDocument/2006/relationships/hyperlink" Target="https://www.instagram.com/p/DMIQCNGxgkT/" TargetMode="External"/><Relationship Id="rId22" Type="http://schemas.openxmlformats.org/officeDocument/2006/relationships/hyperlink" Target="https://www.instagram.com/p/DMxnGjHvuoM/" TargetMode="External"/><Relationship Id="rId21" Type="http://schemas.openxmlformats.org/officeDocument/2006/relationships/hyperlink" Target="https://www.instagram.com/p/DMz1j-NPtKw/" TargetMode="External"/><Relationship Id="rId24" Type="http://schemas.openxmlformats.org/officeDocument/2006/relationships/hyperlink" Target="https://www.instagram.com/p/DMNlwlEvy6R/" TargetMode="External"/><Relationship Id="rId23" Type="http://schemas.openxmlformats.org/officeDocument/2006/relationships/hyperlink" Target="https://www.instagram.com/p/DMhrDvGPEat/" TargetMode="External"/><Relationship Id="rId409" Type="http://schemas.openxmlformats.org/officeDocument/2006/relationships/hyperlink" Target="https://www.artstation.com/artwork/bgrvBm" TargetMode="External"/><Relationship Id="rId404" Type="http://schemas.openxmlformats.org/officeDocument/2006/relationships/hyperlink" Target="https://www.artstation.com/artwork/K3EwR9" TargetMode="External"/><Relationship Id="rId403" Type="http://schemas.openxmlformats.org/officeDocument/2006/relationships/hyperlink" Target="https://www.artstation.com/artwork/x325LO" TargetMode="External"/><Relationship Id="rId402" Type="http://schemas.openxmlformats.org/officeDocument/2006/relationships/hyperlink" Target="https://www.artstation.com/artwork/P6NPYB" TargetMode="External"/><Relationship Id="rId401" Type="http://schemas.openxmlformats.org/officeDocument/2006/relationships/hyperlink" Target="https://www.artstation.com/artwork/EzOxQe" TargetMode="External"/><Relationship Id="rId408" Type="http://schemas.openxmlformats.org/officeDocument/2006/relationships/hyperlink" Target="https://www.artstation.com/artwork/YGrvvP" TargetMode="External"/><Relationship Id="rId407" Type="http://schemas.openxmlformats.org/officeDocument/2006/relationships/hyperlink" Target="https://www.artstation.com/artwork/V2Gvyb" TargetMode="External"/><Relationship Id="rId406" Type="http://schemas.openxmlformats.org/officeDocument/2006/relationships/hyperlink" Target="https://www.artstation.com/artwork/zxXeDQ" TargetMode="External"/><Relationship Id="rId405" Type="http://schemas.openxmlformats.org/officeDocument/2006/relationships/hyperlink" Target="https://www.artstation.com/artwork/XJGv1w" TargetMode="External"/><Relationship Id="rId26" Type="http://schemas.openxmlformats.org/officeDocument/2006/relationships/hyperlink" Target="https://www.instagram.com/p/DMxniOFPeun/" TargetMode="External"/><Relationship Id="rId25" Type="http://schemas.openxmlformats.org/officeDocument/2006/relationships/hyperlink" Target="https://www.instagram.com/p/DMe16yyPFsC/" TargetMode="External"/><Relationship Id="rId28" Type="http://schemas.openxmlformats.org/officeDocument/2006/relationships/hyperlink" Target="https://www.instagram.com/p/DMe2eT4PLoV/" TargetMode="External"/><Relationship Id="rId27" Type="http://schemas.openxmlformats.org/officeDocument/2006/relationships/hyperlink" Target="https://www.instagram.com/p/DIjQVQWPXxk/" TargetMode="External"/><Relationship Id="rId400" Type="http://schemas.openxmlformats.org/officeDocument/2006/relationships/hyperlink" Target="https://www.artstation.com/artwork/lGLoGG" TargetMode="External"/><Relationship Id="rId29" Type="http://schemas.openxmlformats.org/officeDocument/2006/relationships/hyperlink" Target="https://www.instagram.com/p/DQodvqxkmtx/" TargetMode="External"/><Relationship Id="rId11" Type="http://schemas.openxmlformats.org/officeDocument/2006/relationships/hyperlink" Target="https://www.instagram.com/p/DNnjiykvUhq/" TargetMode="External"/><Relationship Id="rId10" Type="http://schemas.openxmlformats.org/officeDocument/2006/relationships/hyperlink" Target="https://www.instagram.com/p/DOqfG63Euxl/" TargetMode="External"/><Relationship Id="rId13" Type="http://schemas.openxmlformats.org/officeDocument/2006/relationships/hyperlink" Target="https://www.instagram.com/p/DP6YhSsku6r/" TargetMode="External"/><Relationship Id="rId12" Type="http://schemas.openxmlformats.org/officeDocument/2006/relationships/hyperlink" Target="https://www.instagram.com/p/DNDq8MMqoad/" TargetMode="External"/><Relationship Id="rId15" Type="http://schemas.openxmlformats.org/officeDocument/2006/relationships/hyperlink" Target="https://www.instagram.com/p/DQhLQ9xkkqD/" TargetMode="External"/><Relationship Id="rId14" Type="http://schemas.openxmlformats.org/officeDocument/2006/relationships/hyperlink" Target="https://www.instagram.com/p/DNnkStwvakl/" TargetMode="External"/><Relationship Id="rId17" Type="http://schemas.openxmlformats.org/officeDocument/2006/relationships/hyperlink" Target="https://www.instagram.com/p/DRjy3agEixU/" TargetMode="External"/><Relationship Id="rId16" Type="http://schemas.openxmlformats.org/officeDocument/2006/relationships/hyperlink" Target="https://www.instagram.com/p/DOV_mVfkrsC/" TargetMode="External"/><Relationship Id="rId19" Type="http://schemas.openxmlformats.org/officeDocument/2006/relationships/hyperlink" Target="https://www.instagram.com/p/DV7xZFnkoNz/" TargetMode="External"/><Relationship Id="rId18" Type="http://schemas.openxmlformats.org/officeDocument/2006/relationships/hyperlink" Target="https://www.instagram.com/p/DUbBPEBEk9K/" TargetMode="External"/><Relationship Id="rId84" Type="http://schemas.openxmlformats.org/officeDocument/2006/relationships/hyperlink" Target="https://www.instagram.com/p/C3IIrCsv9yr/" TargetMode="External"/><Relationship Id="rId83" Type="http://schemas.openxmlformats.org/officeDocument/2006/relationships/hyperlink" Target="https://www.instagram.com/p/C-8NVItSB6V/" TargetMode="External"/><Relationship Id="rId86" Type="http://schemas.openxmlformats.org/officeDocument/2006/relationships/hyperlink" Target="https://www.instagram.com/p/DBjc0pEPmCU/" TargetMode="External"/><Relationship Id="rId85" Type="http://schemas.openxmlformats.org/officeDocument/2006/relationships/hyperlink" Target="https://www.instagram.com/p/C7O_i2bPP-K/" TargetMode="External"/><Relationship Id="rId88" Type="http://schemas.openxmlformats.org/officeDocument/2006/relationships/hyperlink" Target="https://www.instagram.com/p/C8tWmLvvLJU/" TargetMode="External"/><Relationship Id="rId87" Type="http://schemas.openxmlformats.org/officeDocument/2006/relationships/hyperlink" Target="https://www.instagram.com/p/DBydd8SP-Xm/" TargetMode="External"/><Relationship Id="rId89" Type="http://schemas.openxmlformats.org/officeDocument/2006/relationships/hyperlink" Target="https://www.instagram.com/p/DHbQZH-vAkF/" TargetMode="External"/><Relationship Id="rId80" Type="http://schemas.openxmlformats.org/officeDocument/2006/relationships/hyperlink" Target="https://www.instagram.com/p/DHDr8FMvhuG/" TargetMode="External"/><Relationship Id="rId82" Type="http://schemas.openxmlformats.org/officeDocument/2006/relationships/hyperlink" Target="https://www.instagram.com/p/DGNX7R7qtW3/" TargetMode="External"/><Relationship Id="rId81" Type="http://schemas.openxmlformats.org/officeDocument/2006/relationships/hyperlink" Target="https://www.instagram.com/p/DHvwBMRv-r6/" TargetMode="External"/><Relationship Id="rId73" Type="http://schemas.openxmlformats.org/officeDocument/2006/relationships/hyperlink" Target="https://www.instagram.com/p/DG3Ck-dvVIv/" TargetMode="External"/><Relationship Id="rId72" Type="http://schemas.openxmlformats.org/officeDocument/2006/relationships/hyperlink" Target="https://www.instagram.com/p/DG3C1qtPD6z/" TargetMode="External"/><Relationship Id="rId75" Type="http://schemas.openxmlformats.org/officeDocument/2006/relationships/hyperlink" Target="https://www.instagram.com/p/DG3CGR8PI8N/" TargetMode="External"/><Relationship Id="rId74" Type="http://schemas.openxmlformats.org/officeDocument/2006/relationships/hyperlink" Target="https://www.instagram.com/p/DG3ET5eKtea/" TargetMode="External"/><Relationship Id="rId77" Type="http://schemas.openxmlformats.org/officeDocument/2006/relationships/hyperlink" Target="https://www.instagram.com/p/DHIWDWrvLmX/" TargetMode="External"/><Relationship Id="rId76" Type="http://schemas.openxmlformats.org/officeDocument/2006/relationships/hyperlink" Target="https://www.instagram.com/p/DB80hwrvSgX/" TargetMode="External"/><Relationship Id="rId79" Type="http://schemas.openxmlformats.org/officeDocument/2006/relationships/hyperlink" Target="https://www.instagram.com/p/C8HtiDrvCMR/" TargetMode="External"/><Relationship Id="rId78" Type="http://schemas.openxmlformats.org/officeDocument/2006/relationships/hyperlink" Target="https://www.instagram.com/p/C3iLcxsvg16/" TargetMode="External"/><Relationship Id="rId71" Type="http://schemas.openxmlformats.org/officeDocument/2006/relationships/hyperlink" Target="https://www.instagram.com/p/DD97JDPPQ-k/" TargetMode="External"/><Relationship Id="rId70" Type="http://schemas.openxmlformats.org/officeDocument/2006/relationships/hyperlink" Target="https://www.instagram.com/p/DCi8Cn_Pi04/" TargetMode="External"/><Relationship Id="rId62" Type="http://schemas.openxmlformats.org/officeDocument/2006/relationships/hyperlink" Target="https://www.instagram.com/p/DHJBHG6qCHU/" TargetMode="External"/><Relationship Id="rId61" Type="http://schemas.openxmlformats.org/officeDocument/2006/relationships/hyperlink" Target="https://www.instagram.com/p/DHSpY7mvwVh/" TargetMode="External"/><Relationship Id="rId64" Type="http://schemas.openxmlformats.org/officeDocument/2006/relationships/hyperlink" Target="https://www.instagram.com/p/DG5i6LNPM0s/" TargetMode="External"/><Relationship Id="rId63" Type="http://schemas.openxmlformats.org/officeDocument/2006/relationships/hyperlink" Target="https://www.instagram.com/p/DHF_ixmPo0N/" TargetMode="External"/><Relationship Id="rId66" Type="http://schemas.openxmlformats.org/officeDocument/2006/relationships/hyperlink" Target="https://www.instagram.com/p/DHTTRJfvY_Q/" TargetMode="External"/><Relationship Id="rId65" Type="http://schemas.openxmlformats.org/officeDocument/2006/relationships/hyperlink" Target="https://www.instagram.com/p/DHGPG71vCAy/" TargetMode="External"/><Relationship Id="rId68" Type="http://schemas.openxmlformats.org/officeDocument/2006/relationships/hyperlink" Target="https://www.instagram.com/p/DG3DS0zPLbB/" TargetMode="External"/><Relationship Id="rId67" Type="http://schemas.openxmlformats.org/officeDocument/2006/relationships/hyperlink" Target="https://www.instagram.com/p/DHv5S_9PbEC/" TargetMode="External"/><Relationship Id="rId60" Type="http://schemas.openxmlformats.org/officeDocument/2006/relationships/hyperlink" Target="https://www.instagram.com/p/DHGdLIJK25r/" TargetMode="External"/><Relationship Id="rId69" Type="http://schemas.openxmlformats.org/officeDocument/2006/relationships/hyperlink" Target="https://www.instagram.com/p/DFuuI2TvUOa/" TargetMode="External"/><Relationship Id="rId51" Type="http://schemas.openxmlformats.org/officeDocument/2006/relationships/hyperlink" Target="https://www.instagram.com/p/DHxroBHPFtE/" TargetMode="External"/><Relationship Id="rId50" Type="http://schemas.openxmlformats.org/officeDocument/2006/relationships/hyperlink" Target="https://www.instagram.com/p/DHVqJHUPTOW/" TargetMode="External"/><Relationship Id="rId53" Type="http://schemas.openxmlformats.org/officeDocument/2006/relationships/hyperlink" Target="https://www.instagram.com/p/DHa_xXKPual/" TargetMode="External"/><Relationship Id="rId52" Type="http://schemas.openxmlformats.org/officeDocument/2006/relationships/hyperlink" Target="https://www.instagram.com/p/DHV6SjcvwhO/" TargetMode="External"/><Relationship Id="rId55" Type="http://schemas.openxmlformats.org/officeDocument/2006/relationships/hyperlink" Target="https://www.instagram.com/p/DH_ACVNvouK/" TargetMode="External"/><Relationship Id="rId54" Type="http://schemas.openxmlformats.org/officeDocument/2006/relationships/hyperlink" Target="https://www.instagram.com/p/DHVRLcOv8_G/" TargetMode="External"/><Relationship Id="rId57" Type="http://schemas.openxmlformats.org/officeDocument/2006/relationships/hyperlink" Target="https://www.instagram.com/p/DHxYzjTP31g/" TargetMode="External"/><Relationship Id="rId56" Type="http://schemas.openxmlformats.org/officeDocument/2006/relationships/hyperlink" Target="https://www.instagram.com/p/DHbHlkfv3hf/" TargetMode="External"/><Relationship Id="rId59" Type="http://schemas.openxmlformats.org/officeDocument/2006/relationships/hyperlink" Target="https://www.instagram.com/p/DHDrnpQvtAl/" TargetMode="External"/><Relationship Id="rId58" Type="http://schemas.openxmlformats.org/officeDocument/2006/relationships/hyperlink" Target="https://www.instagram.com/p/DHDsUdbvsWm/" TargetMode="External"/><Relationship Id="rId107" Type="http://schemas.openxmlformats.org/officeDocument/2006/relationships/hyperlink" Target="https://www.instagram.com/p/C1L_atByi9W/" TargetMode="External"/><Relationship Id="rId228" Type="http://schemas.openxmlformats.org/officeDocument/2006/relationships/hyperlink" Target="https://x.com/LittleRedZombie/status/1738473331702268151" TargetMode="External"/><Relationship Id="rId349" Type="http://schemas.openxmlformats.org/officeDocument/2006/relationships/hyperlink" Target="https://x.com/LittleRedZombie/status/1730583268758851828" TargetMode="External"/><Relationship Id="rId106" Type="http://schemas.openxmlformats.org/officeDocument/2006/relationships/hyperlink" Target="https://www.instagram.com/p/Czd5CEWPxYu/" TargetMode="External"/><Relationship Id="rId227" Type="http://schemas.openxmlformats.org/officeDocument/2006/relationships/hyperlink" Target="https://x.com/LittleRedZombie/status/1738767116055007429" TargetMode="External"/><Relationship Id="rId348" Type="http://schemas.openxmlformats.org/officeDocument/2006/relationships/hyperlink" Target="https://x.com/LittleRedZombie/status/1730586803181130164" TargetMode="External"/><Relationship Id="rId105" Type="http://schemas.openxmlformats.org/officeDocument/2006/relationships/hyperlink" Target="https://www.instagram.com/p/C0MVK83PJ9Q/" TargetMode="External"/><Relationship Id="rId226" Type="http://schemas.openxmlformats.org/officeDocument/2006/relationships/hyperlink" Target="https://x.com/LittleRedZombie/status/1739211500571726257" TargetMode="External"/><Relationship Id="rId347" Type="http://schemas.openxmlformats.org/officeDocument/2006/relationships/hyperlink" Target="https://x.com/LittleRedZombie/status/1735164879970209900" TargetMode="External"/><Relationship Id="rId104" Type="http://schemas.openxmlformats.org/officeDocument/2006/relationships/hyperlink" Target="https://www.instagram.com/p/C00ixZSvIFw/" TargetMode="External"/><Relationship Id="rId225" Type="http://schemas.openxmlformats.org/officeDocument/2006/relationships/hyperlink" Target="https://x.com/LittleRedZombie/status/1752692581329441185" TargetMode="External"/><Relationship Id="rId346" Type="http://schemas.openxmlformats.org/officeDocument/2006/relationships/hyperlink" Target="https://x.com/LittleRedZombie/status/1738208448838545565" TargetMode="External"/><Relationship Id="rId109" Type="http://schemas.openxmlformats.org/officeDocument/2006/relationships/hyperlink" Target="https://www.instagram.com/p/CzL8HUcPygA/" TargetMode="External"/><Relationship Id="rId108" Type="http://schemas.openxmlformats.org/officeDocument/2006/relationships/hyperlink" Target="https://www.instagram.com/p/DFusWPIPGOy/" TargetMode="External"/><Relationship Id="rId229" Type="http://schemas.openxmlformats.org/officeDocument/2006/relationships/hyperlink" Target="https://x.com/LittleRedZombie/status/1738208448838545565" TargetMode="External"/><Relationship Id="rId220" Type="http://schemas.openxmlformats.org/officeDocument/2006/relationships/hyperlink" Target="https://x.com/LittleRedZombie/status/1738208448838545565" TargetMode="External"/><Relationship Id="rId341" Type="http://schemas.openxmlformats.org/officeDocument/2006/relationships/hyperlink" Target="https://x.com/LittleRedZombie/status/1730150536781897761" TargetMode="External"/><Relationship Id="rId340" Type="http://schemas.openxmlformats.org/officeDocument/2006/relationships/hyperlink" Target="https://x.com/LittleRedZombie/status/1730583268758851828" TargetMode="External"/><Relationship Id="rId103" Type="http://schemas.openxmlformats.org/officeDocument/2006/relationships/hyperlink" Target="https://www.instagram.com/p/C1KIw3MPhzs/" TargetMode="External"/><Relationship Id="rId224" Type="http://schemas.openxmlformats.org/officeDocument/2006/relationships/hyperlink" Target="https://x.com/LittleRedZombie/status/1730150536781897761" TargetMode="External"/><Relationship Id="rId345" Type="http://schemas.openxmlformats.org/officeDocument/2006/relationships/hyperlink" Target="https://x.com/LittleRedZombie/status/1738473331702268151" TargetMode="External"/><Relationship Id="rId102" Type="http://schemas.openxmlformats.org/officeDocument/2006/relationships/hyperlink" Target="https://www.instagram.com/p/C8HsE94vMgn/" TargetMode="External"/><Relationship Id="rId223" Type="http://schemas.openxmlformats.org/officeDocument/2006/relationships/hyperlink" Target="https://x.com/LittleRedZombie/status/1730583268758851828" TargetMode="External"/><Relationship Id="rId344" Type="http://schemas.openxmlformats.org/officeDocument/2006/relationships/hyperlink" Target="https://x.com/LittleRedZombie/status/1738767116055007429" TargetMode="External"/><Relationship Id="rId101" Type="http://schemas.openxmlformats.org/officeDocument/2006/relationships/hyperlink" Target="https://www.instagram.com/p/C8HsVYwP1cJ/" TargetMode="External"/><Relationship Id="rId222" Type="http://schemas.openxmlformats.org/officeDocument/2006/relationships/hyperlink" Target="https://x.com/LittleRedZombie/status/1730586803181130164" TargetMode="External"/><Relationship Id="rId343" Type="http://schemas.openxmlformats.org/officeDocument/2006/relationships/hyperlink" Target="https://x.com/LittleRedZombie/status/1739211500571726257" TargetMode="External"/><Relationship Id="rId100" Type="http://schemas.openxmlformats.org/officeDocument/2006/relationships/hyperlink" Target="https://www.instagram.com/p/DB3hmsnvaFo/" TargetMode="External"/><Relationship Id="rId221" Type="http://schemas.openxmlformats.org/officeDocument/2006/relationships/hyperlink" Target="https://x.com/LittleRedZombie/status/1735164879970209900" TargetMode="External"/><Relationship Id="rId342" Type="http://schemas.openxmlformats.org/officeDocument/2006/relationships/hyperlink" Target="https://x.com/LittleRedZombie/status/1752692581329441185" TargetMode="External"/><Relationship Id="rId217" Type="http://schemas.openxmlformats.org/officeDocument/2006/relationships/hyperlink" Target="https://x.com/LittleRedZombie/status/1739211500571726257" TargetMode="External"/><Relationship Id="rId338" Type="http://schemas.openxmlformats.org/officeDocument/2006/relationships/hyperlink" Target="https://x.com/LittleRedZombie/status/1735164879970209900" TargetMode="External"/><Relationship Id="rId216" Type="http://schemas.openxmlformats.org/officeDocument/2006/relationships/hyperlink" Target="https://x.com/LittleRedZombie/status/1752692581329441185" TargetMode="External"/><Relationship Id="rId337" Type="http://schemas.openxmlformats.org/officeDocument/2006/relationships/hyperlink" Target="https://x.com/LittleRedZombie/status/1738208448838545565" TargetMode="External"/><Relationship Id="rId215" Type="http://schemas.openxmlformats.org/officeDocument/2006/relationships/hyperlink" Target="https://x.com/LittleRedZombie/status/1730150536781897761" TargetMode="External"/><Relationship Id="rId336" Type="http://schemas.openxmlformats.org/officeDocument/2006/relationships/hyperlink" Target="https://x.com/LittleRedZombie/status/1738473331702268151" TargetMode="External"/><Relationship Id="rId214" Type="http://schemas.openxmlformats.org/officeDocument/2006/relationships/hyperlink" Target="https://x.com/LittleRedZombie/status/1730583268758851828" TargetMode="External"/><Relationship Id="rId335" Type="http://schemas.openxmlformats.org/officeDocument/2006/relationships/hyperlink" Target="https://x.com/LittleRedZombie/status/1738767116055007429" TargetMode="External"/><Relationship Id="rId219" Type="http://schemas.openxmlformats.org/officeDocument/2006/relationships/hyperlink" Target="https://x.com/LittleRedZombie/status/1738473331702268151" TargetMode="External"/><Relationship Id="rId218" Type="http://schemas.openxmlformats.org/officeDocument/2006/relationships/hyperlink" Target="https://x.com/LittleRedZombie/status/1738767116055007429" TargetMode="External"/><Relationship Id="rId339" Type="http://schemas.openxmlformats.org/officeDocument/2006/relationships/hyperlink" Target="https://x.com/LittleRedZombie/status/1730586803181130164" TargetMode="External"/><Relationship Id="rId330" Type="http://schemas.openxmlformats.org/officeDocument/2006/relationships/hyperlink" Target="https://x.com/LittleRedZombie/status/1730586803181130164" TargetMode="External"/><Relationship Id="rId213" Type="http://schemas.openxmlformats.org/officeDocument/2006/relationships/hyperlink" Target="https://x.com/LittleRedZombie/status/1730586803181130164" TargetMode="External"/><Relationship Id="rId334" Type="http://schemas.openxmlformats.org/officeDocument/2006/relationships/hyperlink" Target="https://x.com/LittleRedZombie/status/1739211500571726257" TargetMode="External"/><Relationship Id="rId212" Type="http://schemas.openxmlformats.org/officeDocument/2006/relationships/hyperlink" Target="https://x.com/LittleRedZombie/status/1735164879970209900" TargetMode="External"/><Relationship Id="rId333" Type="http://schemas.openxmlformats.org/officeDocument/2006/relationships/hyperlink" Target="https://x.com/LittleRedZombie/status/1752692581329441185" TargetMode="External"/><Relationship Id="rId211" Type="http://schemas.openxmlformats.org/officeDocument/2006/relationships/hyperlink" Target="https://x.com/LittleRedZombie/status/1738208448838545565" TargetMode="External"/><Relationship Id="rId332" Type="http://schemas.openxmlformats.org/officeDocument/2006/relationships/hyperlink" Target="https://x.com/LittleRedZombie/status/1730150536781897761" TargetMode="External"/><Relationship Id="rId210" Type="http://schemas.openxmlformats.org/officeDocument/2006/relationships/hyperlink" Target="https://x.com/LittleRedZombie/status/1738473331702268151" TargetMode="External"/><Relationship Id="rId331" Type="http://schemas.openxmlformats.org/officeDocument/2006/relationships/hyperlink" Target="https://x.com/LittleRedZombie/status/1730583268758851828" TargetMode="External"/><Relationship Id="rId370" Type="http://schemas.openxmlformats.org/officeDocument/2006/relationships/hyperlink" Target="https://www.artstation.com/artwork/lGYKya" TargetMode="External"/><Relationship Id="rId129" Type="http://schemas.openxmlformats.org/officeDocument/2006/relationships/hyperlink" Target="https://www.instagram.com/p/B9-6gl9DtwF/" TargetMode="External"/><Relationship Id="rId128" Type="http://schemas.openxmlformats.org/officeDocument/2006/relationships/hyperlink" Target="https://www.instagram.com/p/Ci-aTpCPtkl/" TargetMode="External"/><Relationship Id="rId249" Type="http://schemas.openxmlformats.org/officeDocument/2006/relationships/hyperlink" Target="https://x.com/LittleRedZombie/status/1730586803181130164" TargetMode="External"/><Relationship Id="rId127" Type="http://schemas.openxmlformats.org/officeDocument/2006/relationships/hyperlink" Target="https://www.instagram.com/p/CXrOUwmPPru/" TargetMode="External"/><Relationship Id="rId248" Type="http://schemas.openxmlformats.org/officeDocument/2006/relationships/hyperlink" Target="https://x.com/LittleRedZombie/status/1735164879970209900" TargetMode="External"/><Relationship Id="rId369" Type="http://schemas.openxmlformats.org/officeDocument/2006/relationships/hyperlink" Target="https://www.artstation.com/artwork/gJrOym" TargetMode="External"/><Relationship Id="rId126" Type="http://schemas.openxmlformats.org/officeDocument/2006/relationships/hyperlink" Target="https://www.instagram.com/p/CUXUdPyvrK7/" TargetMode="External"/><Relationship Id="rId247" Type="http://schemas.openxmlformats.org/officeDocument/2006/relationships/hyperlink" Target="https://x.com/LittleRedZombie/status/1738208448838545565" TargetMode="External"/><Relationship Id="rId368" Type="http://schemas.openxmlformats.org/officeDocument/2006/relationships/hyperlink" Target="https://x.com/LittleRedZombie/status/1730150536781897761" TargetMode="External"/><Relationship Id="rId121" Type="http://schemas.openxmlformats.org/officeDocument/2006/relationships/hyperlink" Target="https://www.instagram.com/p/CX6mZOKKpnG/" TargetMode="External"/><Relationship Id="rId242" Type="http://schemas.openxmlformats.org/officeDocument/2006/relationships/hyperlink" Target="https://x.com/LittleRedZombie/status/1730150536781897761" TargetMode="External"/><Relationship Id="rId363" Type="http://schemas.openxmlformats.org/officeDocument/2006/relationships/hyperlink" Target="https://x.com/LittleRedZombie/status/1738473331702268151" TargetMode="External"/><Relationship Id="rId120" Type="http://schemas.openxmlformats.org/officeDocument/2006/relationships/hyperlink" Target="https://www.instagram.com/p/CxzJ11TPqdn/" TargetMode="External"/><Relationship Id="rId241" Type="http://schemas.openxmlformats.org/officeDocument/2006/relationships/hyperlink" Target="https://x.com/LittleRedZombie/status/1730583268758851828" TargetMode="External"/><Relationship Id="rId362" Type="http://schemas.openxmlformats.org/officeDocument/2006/relationships/hyperlink" Target="https://x.com/LittleRedZombie/status/1738767116055007429" TargetMode="External"/><Relationship Id="rId240" Type="http://schemas.openxmlformats.org/officeDocument/2006/relationships/hyperlink" Target="https://x.com/LittleRedZombie/status/1730586803181130164" TargetMode="External"/><Relationship Id="rId361" Type="http://schemas.openxmlformats.org/officeDocument/2006/relationships/hyperlink" Target="https://x.com/LittleRedZombie/status/1739211500571726257" TargetMode="External"/><Relationship Id="rId360" Type="http://schemas.openxmlformats.org/officeDocument/2006/relationships/hyperlink" Target="https://x.com/LittleRedZombie/status/1752692581329441185" TargetMode="External"/><Relationship Id="rId125" Type="http://schemas.openxmlformats.org/officeDocument/2006/relationships/hyperlink" Target="https://www.instagram.com/p/CaHqQxHPt40/" TargetMode="External"/><Relationship Id="rId246" Type="http://schemas.openxmlformats.org/officeDocument/2006/relationships/hyperlink" Target="https://x.com/LittleRedZombie/status/1738473331702268151" TargetMode="External"/><Relationship Id="rId367" Type="http://schemas.openxmlformats.org/officeDocument/2006/relationships/hyperlink" Target="https://x.com/LittleRedZombie/status/1730583268758851828" TargetMode="External"/><Relationship Id="rId124" Type="http://schemas.openxmlformats.org/officeDocument/2006/relationships/hyperlink" Target="https://www.instagram.com/p/CUc5PxOpSMK/" TargetMode="External"/><Relationship Id="rId245" Type="http://schemas.openxmlformats.org/officeDocument/2006/relationships/hyperlink" Target="https://x.com/LittleRedZombie/status/1738767116055007429" TargetMode="External"/><Relationship Id="rId366" Type="http://schemas.openxmlformats.org/officeDocument/2006/relationships/hyperlink" Target="https://x.com/LittleRedZombie/status/1730586803181130164" TargetMode="External"/><Relationship Id="rId123" Type="http://schemas.openxmlformats.org/officeDocument/2006/relationships/hyperlink" Target="https://www.instagram.com/p/Cd8gVHdpug-/" TargetMode="External"/><Relationship Id="rId244" Type="http://schemas.openxmlformats.org/officeDocument/2006/relationships/hyperlink" Target="https://x.com/LittleRedZombie/status/1739211500571726257" TargetMode="External"/><Relationship Id="rId365" Type="http://schemas.openxmlformats.org/officeDocument/2006/relationships/hyperlink" Target="https://x.com/LittleRedZombie/status/1735164879970209900" TargetMode="External"/><Relationship Id="rId122" Type="http://schemas.openxmlformats.org/officeDocument/2006/relationships/hyperlink" Target="https://www.instagram.com/p/CUK42GqAnDU/" TargetMode="External"/><Relationship Id="rId243" Type="http://schemas.openxmlformats.org/officeDocument/2006/relationships/hyperlink" Target="https://x.com/LittleRedZombie/status/1752692581329441185" TargetMode="External"/><Relationship Id="rId364" Type="http://schemas.openxmlformats.org/officeDocument/2006/relationships/hyperlink" Target="https://x.com/LittleRedZombie/status/1738208448838545565" TargetMode="External"/><Relationship Id="rId95" Type="http://schemas.openxmlformats.org/officeDocument/2006/relationships/hyperlink" Target="https://www.instagram.com/p/C0T-EX4vrg1/" TargetMode="External"/><Relationship Id="rId94" Type="http://schemas.openxmlformats.org/officeDocument/2006/relationships/hyperlink" Target="https://www.instagram.com/p/C0T9we0vKxp/" TargetMode="External"/><Relationship Id="rId97" Type="http://schemas.openxmlformats.org/officeDocument/2006/relationships/hyperlink" Target="https://www.instagram.com/p/C1NaStvSbXq/" TargetMode="External"/><Relationship Id="rId96" Type="http://schemas.openxmlformats.org/officeDocument/2006/relationships/hyperlink" Target="https://www.instagram.com/p/C2ALFIpvKUe/" TargetMode="External"/><Relationship Id="rId99" Type="http://schemas.openxmlformats.org/officeDocument/2006/relationships/hyperlink" Target="https://www.instagram.com/p/DHJLx_GvFal/" TargetMode="External"/><Relationship Id="rId98" Type="http://schemas.openxmlformats.org/officeDocument/2006/relationships/hyperlink" Target="https://www.instagram.com/p/C7O_Jo4PcIW/" TargetMode="External"/><Relationship Id="rId91" Type="http://schemas.openxmlformats.org/officeDocument/2006/relationships/hyperlink" Target="https://www.instagram.com/p/DCHM1CLv2Kr/" TargetMode="External"/><Relationship Id="rId90" Type="http://schemas.openxmlformats.org/officeDocument/2006/relationships/hyperlink" Target="https://www.instagram.com/p/CzoFYiuP2Sa/" TargetMode="External"/><Relationship Id="rId93" Type="http://schemas.openxmlformats.org/officeDocument/2006/relationships/hyperlink" Target="https://www.instagram.com/p/C1RNsV2SGWt/" TargetMode="External"/><Relationship Id="rId92" Type="http://schemas.openxmlformats.org/officeDocument/2006/relationships/hyperlink" Target="https://www.instagram.com/p/C2xFZnwPNb3/" TargetMode="External"/><Relationship Id="rId118" Type="http://schemas.openxmlformats.org/officeDocument/2006/relationships/hyperlink" Target="https://www.instagram.com/p/CzWegoHv2J1/" TargetMode="External"/><Relationship Id="rId239" Type="http://schemas.openxmlformats.org/officeDocument/2006/relationships/hyperlink" Target="https://x.com/LittleRedZombie/status/1735164879970209900" TargetMode="External"/><Relationship Id="rId117" Type="http://schemas.openxmlformats.org/officeDocument/2006/relationships/hyperlink" Target="https://www.instagram.com/p/Cy50ADsvbJp/" TargetMode="External"/><Relationship Id="rId238" Type="http://schemas.openxmlformats.org/officeDocument/2006/relationships/hyperlink" Target="https://x.com/LittleRedZombie/status/1738208448838545565" TargetMode="External"/><Relationship Id="rId359" Type="http://schemas.openxmlformats.org/officeDocument/2006/relationships/hyperlink" Target="https://x.com/LittleRedZombie/status/1730150536781897761" TargetMode="External"/><Relationship Id="rId116" Type="http://schemas.openxmlformats.org/officeDocument/2006/relationships/hyperlink" Target="https://www.instagram.com/p/CstZx5yy1NU/" TargetMode="External"/><Relationship Id="rId237" Type="http://schemas.openxmlformats.org/officeDocument/2006/relationships/hyperlink" Target="https://x.com/LittleRedZombie/status/1738473331702268151" TargetMode="External"/><Relationship Id="rId358" Type="http://schemas.openxmlformats.org/officeDocument/2006/relationships/hyperlink" Target="https://x.com/LittleRedZombie/status/1730583268758851828" TargetMode="External"/><Relationship Id="rId115" Type="http://schemas.openxmlformats.org/officeDocument/2006/relationships/hyperlink" Target="https://www.instagram.com/p/CxYPjptvAKo/" TargetMode="External"/><Relationship Id="rId236" Type="http://schemas.openxmlformats.org/officeDocument/2006/relationships/hyperlink" Target="https://x.com/LittleRedZombie/status/1738767116055007429" TargetMode="External"/><Relationship Id="rId357" Type="http://schemas.openxmlformats.org/officeDocument/2006/relationships/hyperlink" Target="https://x.com/LittleRedZombie/status/1730586803181130164" TargetMode="External"/><Relationship Id="rId119" Type="http://schemas.openxmlformats.org/officeDocument/2006/relationships/hyperlink" Target="https://www.instagram.com/p/CzGpRWiP4nv/" TargetMode="External"/><Relationship Id="rId110" Type="http://schemas.openxmlformats.org/officeDocument/2006/relationships/hyperlink" Target="https://www.instagram.com/p/CxPP8JfyB35/" TargetMode="External"/><Relationship Id="rId231" Type="http://schemas.openxmlformats.org/officeDocument/2006/relationships/hyperlink" Target="https://x.com/LittleRedZombie/status/1730586803181130164" TargetMode="External"/><Relationship Id="rId352" Type="http://schemas.openxmlformats.org/officeDocument/2006/relationships/hyperlink" Target="https://x.com/LittleRedZombie/status/1739211500571726257" TargetMode="External"/><Relationship Id="rId230" Type="http://schemas.openxmlformats.org/officeDocument/2006/relationships/hyperlink" Target="https://x.com/LittleRedZombie/status/1735164879970209900" TargetMode="External"/><Relationship Id="rId351" Type="http://schemas.openxmlformats.org/officeDocument/2006/relationships/hyperlink" Target="https://x.com/LittleRedZombie/status/1752692581329441185" TargetMode="External"/><Relationship Id="rId350" Type="http://schemas.openxmlformats.org/officeDocument/2006/relationships/hyperlink" Target="https://x.com/LittleRedZombie/status/1730150536781897761" TargetMode="External"/><Relationship Id="rId114" Type="http://schemas.openxmlformats.org/officeDocument/2006/relationships/hyperlink" Target="https://www.instagram.com/p/CrlXVzKpVpX/" TargetMode="External"/><Relationship Id="rId235" Type="http://schemas.openxmlformats.org/officeDocument/2006/relationships/hyperlink" Target="https://x.com/LittleRedZombie/status/1739211500571726257" TargetMode="External"/><Relationship Id="rId356" Type="http://schemas.openxmlformats.org/officeDocument/2006/relationships/hyperlink" Target="https://x.com/LittleRedZombie/status/1735164879970209900" TargetMode="External"/><Relationship Id="rId113" Type="http://schemas.openxmlformats.org/officeDocument/2006/relationships/hyperlink" Target="https://www.instagram.com/p/Cmg7y5NhhaO/" TargetMode="External"/><Relationship Id="rId234" Type="http://schemas.openxmlformats.org/officeDocument/2006/relationships/hyperlink" Target="https://x.com/LittleRedZombie/status/1752692581329441185" TargetMode="External"/><Relationship Id="rId355" Type="http://schemas.openxmlformats.org/officeDocument/2006/relationships/hyperlink" Target="https://x.com/LittleRedZombie/status/1738208448838545565" TargetMode="External"/><Relationship Id="rId112" Type="http://schemas.openxmlformats.org/officeDocument/2006/relationships/hyperlink" Target="https://www.instagram.com/p/CzT9IACvpWg/" TargetMode="External"/><Relationship Id="rId233" Type="http://schemas.openxmlformats.org/officeDocument/2006/relationships/hyperlink" Target="https://x.com/LittleRedZombie/status/1730150536781897761" TargetMode="External"/><Relationship Id="rId354" Type="http://schemas.openxmlformats.org/officeDocument/2006/relationships/hyperlink" Target="https://x.com/LittleRedZombie/status/1738473331702268151" TargetMode="External"/><Relationship Id="rId111" Type="http://schemas.openxmlformats.org/officeDocument/2006/relationships/hyperlink" Target="https://www.instagram.com/p/Cqutga1pHyr/" TargetMode="External"/><Relationship Id="rId232" Type="http://schemas.openxmlformats.org/officeDocument/2006/relationships/hyperlink" Target="https://x.com/LittleRedZombie/status/1730583268758851828" TargetMode="External"/><Relationship Id="rId353" Type="http://schemas.openxmlformats.org/officeDocument/2006/relationships/hyperlink" Target="https://x.com/LittleRedZombie/status/1738767116055007429" TargetMode="External"/><Relationship Id="rId305" Type="http://schemas.openxmlformats.org/officeDocument/2006/relationships/hyperlink" Target="https://x.com/LittleRedZombie/status/1730150536781897761" TargetMode="External"/><Relationship Id="rId426" Type="http://schemas.openxmlformats.org/officeDocument/2006/relationships/hyperlink" Target="https://www.artstation.com/artwork/mAW4Z9" TargetMode="External"/><Relationship Id="rId304" Type="http://schemas.openxmlformats.org/officeDocument/2006/relationships/hyperlink" Target="https://x.com/LittleRedZombie/status/1730583268758851828" TargetMode="External"/><Relationship Id="rId425" Type="http://schemas.openxmlformats.org/officeDocument/2006/relationships/hyperlink" Target="https://www.artstation.com/artwork/DLO4WG" TargetMode="External"/><Relationship Id="rId303" Type="http://schemas.openxmlformats.org/officeDocument/2006/relationships/hyperlink" Target="https://x.com/LittleRedZombie/status/1730586803181130164" TargetMode="External"/><Relationship Id="rId424" Type="http://schemas.openxmlformats.org/officeDocument/2006/relationships/hyperlink" Target="https://www.artstation.com/artwork/qJb1PP" TargetMode="External"/><Relationship Id="rId302" Type="http://schemas.openxmlformats.org/officeDocument/2006/relationships/hyperlink" Target="https://x.com/LittleRedZombie/status/1735164879970209900" TargetMode="External"/><Relationship Id="rId423" Type="http://schemas.openxmlformats.org/officeDocument/2006/relationships/hyperlink" Target="https://www.artstation.com/artwork/8wbkBm" TargetMode="External"/><Relationship Id="rId309" Type="http://schemas.openxmlformats.org/officeDocument/2006/relationships/hyperlink" Target="https://x.com/LittleRedZombie/status/1738473331702268151" TargetMode="External"/><Relationship Id="rId308" Type="http://schemas.openxmlformats.org/officeDocument/2006/relationships/hyperlink" Target="https://x.com/LittleRedZombie/status/1738767116055007429" TargetMode="External"/><Relationship Id="rId429" Type="http://schemas.openxmlformats.org/officeDocument/2006/relationships/hyperlink" Target="https://www.artstation.com/artwork/XJxKJ3" TargetMode="External"/><Relationship Id="rId307" Type="http://schemas.openxmlformats.org/officeDocument/2006/relationships/hyperlink" Target="https://x.com/LittleRedZombie/status/1739211500571726257" TargetMode="External"/><Relationship Id="rId428" Type="http://schemas.openxmlformats.org/officeDocument/2006/relationships/hyperlink" Target="https://www.artstation.com/artwork/3E8J9A" TargetMode="External"/><Relationship Id="rId306" Type="http://schemas.openxmlformats.org/officeDocument/2006/relationships/hyperlink" Target="https://x.com/LittleRedZombie/status/1752692581329441185" TargetMode="External"/><Relationship Id="rId427" Type="http://schemas.openxmlformats.org/officeDocument/2006/relationships/hyperlink" Target="https://www.artstation.com/artwork/0lLJ54" TargetMode="External"/><Relationship Id="rId301" Type="http://schemas.openxmlformats.org/officeDocument/2006/relationships/hyperlink" Target="https://x.com/LittleRedZombie/status/1738208448838545565" TargetMode="External"/><Relationship Id="rId422" Type="http://schemas.openxmlformats.org/officeDocument/2006/relationships/hyperlink" Target="https://www.artstation.com/artwork/9mA5dy" TargetMode="External"/><Relationship Id="rId300" Type="http://schemas.openxmlformats.org/officeDocument/2006/relationships/hyperlink" Target="https://x.com/LittleRedZombie/status/1738473331702268151" TargetMode="External"/><Relationship Id="rId421" Type="http://schemas.openxmlformats.org/officeDocument/2006/relationships/hyperlink" Target="https://www.artstation.com/artwork/aY2VN2" TargetMode="External"/><Relationship Id="rId420" Type="http://schemas.openxmlformats.org/officeDocument/2006/relationships/hyperlink" Target="https://www.artstation.com/artwork/Xnm1XL" TargetMode="External"/><Relationship Id="rId415" Type="http://schemas.openxmlformats.org/officeDocument/2006/relationships/hyperlink" Target="https://www.artstation.com/artwork/WXGoED" TargetMode="External"/><Relationship Id="rId414" Type="http://schemas.openxmlformats.org/officeDocument/2006/relationships/hyperlink" Target="https://www.artstation.com/artwork/rl08wO" TargetMode="External"/><Relationship Id="rId413" Type="http://schemas.openxmlformats.org/officeDocument/2006/relationships/hyperlink" Target="https://www.artstation.com/artwork/4NyQG1" TargetMode="External"/><Relationship Id="rId412" Type="http://schemas.openxmlformats.org/officeDocument/2006/relationships/hyperlink" Target="https://www.artstation.com/artwork/dy4wk3" TargetMode="External"/><Relationship Id="rId419" Type="http://schemas.openxmlformats.org/officeDocument/2006/relationships/hyperlink" Target="https://www.artstation.com/artwork/0lqlyw" TargetMode="External"/><Relationship Id="rId418" Type="http://schemas.openxmlformats.org/officeDocument/2006/relationships/hyperlink" Target="https://www.artstation.com/artwork/bg4gGr" TargetMode="External"/><Relationship Id="rId417" Type="http://schemas.openxmlformats.org/officeDocument/2006/relationships/hyperlink" Target="https://www.artstation.com/artwork/4NLNmW" TargetMode="External"/><Relationship Id="rId416" Type="http://schemas.openxmlformats.org/officeDocument/2006/relationships/hyperlink" Target="https://www.artstation.com/artwork/5W19zE" TargetMode="External"/><Relationship Id="rId411" Type="http://schemas.openxmlformats.org/officeDocument/2006/relationships/hyperlink" Target="https://www.artstation.com/artwork/4NyQWl" TargetMode="External"/><Relationship Id="rId410" Type="http://schemas.openxmlformats.org/officeDocument/2006/relationships/hyperlink" Target="https://www.artstation.com/artwork/AZvLoV" TargetMode="External"/><Relationship Id="rId206" Type="http://schemas.openxmlformats.org/officeDocument/2006/relationships/hyperlink" Target="https://x.com/LittleRedZombie/status/1730150536781897761" TargetMode="External"/><Relationship Id="rId327" Type="http://schemas.openxmlformats.org/officeDocument/2006/relationships/hyperlink" Target="https://x.com/LittleRedZombie/status/1738473331702268151" TargetMode="External"/><Relationship Id="rId205" Type="http://schemas.openxmlformats.org/officeDocument/2006/relationships/hyperlink" Target="https://x.com/LittleRedZombie/status/1730583268758851828" TargetMode="External"/><Relationship Id="rId326" Type="http://schemas.openxmlformats.org/officeDocument/2006/relationships/hyperlink" Target="https://x.com/LittleRedZombie/status/1738767116055007429" TargetMode="External"/><Relationship Id="rId204" Type="http://schemas.openxmlformats.org/officeDocument/2006/relationships/hyperlink" Target="https://x.com/LittleRedZombie/status/1730586803181130164" TargetMode="External"/><Relationship Id="rId325" Type="http://schemas.openxmlformats.org/officeDocument/2006/relationships/hyperlink" Target="https://x.com/LittleRedZombie/status/1739211500571726257" TargetMode="External"/><Relationship Id="rId203" Type="http://schemas.openxmlformats.org/officeDocument/2006/relationships/hyperlink" Target="https://x.com/LittleRedZombie/status/1735164879970209900" TargetMode="External"/><Relationship Id="rId324" Type="http://schemas.openxmlformats.org/officeDocument/2006/relationships/hyperlink" Target="https://x.com/LittleRedZombie/status/1752692581329441185" TargetMode="External"/><Relationship Id="rId209" Type="http://schemas.openxmlformats.org/officeDocument/2006/relationships/hyperlink" Target="https://x.com/LittleRedZombie/status/1738767116055007429" TargetMode="External"/><Relationship Id="rId208" Type="http://schemas.openxmlformats.org/officeDocument/2006/relationships/hyperlink" Target="https://x.com/LittleRedZombie/status/1739211500571726257" TargetMode="External"/><Relationship Id="rId329" Type="http://schemas.openxmlformats.org/officeDocument/2006/relationships/hyperlink" Target="https://x.com/LittleRedZombie/status/1735164879970209900" TargetMode="External"/><Relationship Id="rId207" Type="http://schemas.openxmlformats.org/officeDocument/2006/relationships/hyperlink" Target="https://x.com/LittleRedZombie/status/1752692581329441185" TargetMode="External"/><Relationship Id="rId328" Type="http://schemas.openxmlformats.org/officeDocument/2006/relationships/hyperlink" Target="https://x.com/LittleRedZombie/status/1738208448838545565" TargetMode="External"/><Relationship Id="rId202" Type="http://schemas.openxmlformats.org/officeDocument/2006/relationships/hyperlink" Target="https://x.com/LittleRedZombie/status/1738208448838545565" TargetMode="External"/><Relationship Id="rId323" Type="http://schemas.openxmlformats.org/officeDocument/2006/relationships/hyperlink" Target="https://x.com/LittleRedZombie/status/1730150536781897761" TargetMode="External"/><Relationship Id="rId201" Type="http://schemas.openxmlformats.org/officeDocument/2006/relationships/hyperlink" Target="https://x.com/LittleRedZombie/status/1738473331702268151" TargetMode="External"/><Relationship Id="rId322" Type="http://schemas.openxmlformats.org/officeDocument/2006/relationships/hyperlink" Target="https://x.com/LittleRedZombie/status/1730583268758851828" TargetMode="External"/><Relationship Id="rId200" Type="http://schemas.openxmlformats.org/officeDocument/2006/relationships/hyperlink" Target="https://x.com/LittleRedZombie/status/1738767116055007429" TargetMode="External"/><Relationship Id="rId321" Type="http://schemas.openxmlformats.org/officeDocument/2006/relationships/hyperlink" Target="https://x.com/LittleRedZombie/status/1730586803181130164" TargetMode="External"/><Relationship Id="rId320" Type="http://schemas.openxmlformats.org/officeDocument/2006/relationships/hyperlink" Target="https://x.com/LittleRedZombie/status/1735164879970209900" TargetMode="External"/><Relationship Id="rId316" Type="http://schemas.openxmlformats.org/officeDocument/2006/relationships/hyperlink" Target="https://x.com/LittleRedZombie/status/1739211500571726257" TargetMode="External"/><Relationship Id="rId315" Type="http://schemas.openxmlformats.org/officeDocument/2006/relationships/hyperlink" Target="https://x.com/LittleRedZombie/status/1752692581329441185" TargetMode="External"/><Relationship Id="rId314" Type="http://schemas.openxmlformats.org/officeDocument/2006/relationships/hyperlink" Target="https://x.com/LittleRedZombie/status/1730150536781897761" TargetMode="External"/><Relationship Id="rId313" Type="http://schemas.openxmlformats.org/officeDocument/2006/relationships/hyperlink" Target="https://x.com/LittleRedZombie/status/1730583268758851828" TargetMode="External"/><Relationship Id="rId319" Type="http://schemas.openxmlformats.org/officeDocument/2006/relationships/hyperlink" Target="https://x.com/LittleRedZombie/status/1738208448838545565" TargetMode="External"/><Relationship Id="rId318" Type="http://schemas.openxmlformats.org/officeDocument/2006/relationships/hyperlink" Target="https://x.com/LittleRedZombie/status/1738473331702268151" TargetMode="External"/><Relationship Id="rId317" Type="http://schemas.openxmlformats.org/officeDocument/2006/relationships/hyperlink" Target="https://x.com/LittleRedZombie/status/1738767116055007429" TargetMode="External"/><Relationship Id="rId312" Type="http://schemas.openxmlformats.org/officeDocument/2006/relationships/hyperlink" Target="https://x.com/LittleRedZombie/status/1730586803181130164" TargetMode="External"/><Relationship Id="rId311" Type="http://schemas.openxmlformats.org/officeDocument/2006/relationships/hyperlink" Target="https://x.com/LittleRedZombie/status/1735164879970209900" TargetMode="External"/><Relationship Id="rId432" Type="http://schemas.openxmlformats.org/officeDocument/2006/relationships/table" Target="../tables/table8.xml"/><Relationship Id="rId310" Type="http://schemas.openxmlformats.org/officeDocument/2006/relationships/hyperlink" Target="https://x.com/LittleRedZombie/status/1738208448838545565" TargetMode="External"/><Relationship Id="rId430"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40.75"/>
    <col customWidth="1" min="3" max="3" width="15.0"/>
    <col customWidth="1" min="4" max="4" width="37.25"/>
    <col customWidth="1" min="5" max="5" width="99.88"/>
    <col customWidth="1" min="6" max="6" width="54.38"/>
    <col customWidth="1" min="7" max="30" width="99.88"/>
  </cols>
  <sheetData>
    <row r="1">
      <c r="A1" s="1" t="s">
        <v>0</v>
      </c>
      <c r="C1" s="2"/>
      <c r="F1" s="3"/>
      <c r="G1" s="3"/>
      <c r="H1" s="3"/>
      <c r="I1" s="3"/>
      <c r="J1" s="3"/>
      <c r="K1" s="3"/>
      <c r="L1" s="3"/>
      <c r="M1" s="3"/>
      <c r="N1" s="3"/>
      <c r="O1" s="3"/>
      <c r="P1" s="3"/>
      <c r="Q1" s="3"/>
      <c r="R1" s="3"/>
      <c r="S1" s="3"/>
      <c r="T1" s="3"/>
      <c r="U1" s="3"/>
      <c r="V1" s="3"/>
      <c r="W1" s="3"/>
      <c r="X1" s="3"/>
      <c r="Y1" s="3"/>
      <c r="Z1" s="3"/>
      <c r="AA1" s="3"/>
      <c r="AB1" s="3"/>
      <c r="AC1" s="3"/>
      <c r="AD1" s="3"/>
    </row>
    <row r="2">
      <c r="A2" s="4"/>
      <c r="B2" s="4"/>
      <c r="C2" s="4"/>
      <c r="D2" s="4"/>
      <c r="E2" s="4"/>
      <c r="F2" s="3"/>
      <c r="G2" s="3"/>
      <c r="H2" s="3"/>
      <c r="I2" s="3"/>
      <c r="J2" s="3"/>
      <c r="K2" s="3"/>
      <c r="L2" s="3"/>
      <c r="M2" s="3"/>
      <c r="N2" s="3"/>
      <c r="O2" s="3"/>
      <c r="P2" s="3"/>
      <c r="Q2" s="3"/>
      <c r="R2" s="3"/>
      <c r="S2" s="3"/>
      <c r="T2" s="3"/>
      <c r="U2" s="3"/>
      <c r="V2" s="3"/>
      <c r="W2" s="3"/>
      <c r="X2" s="3"/>
      <c r="Y2" s="3"/>
      <c r="Z2" s="3"/>
      <c r="AA2" s="3"/>
      <c r="AB2" s="3"/>
      <c r="AC2" s="3"/>
      <c r="AD2" s="3"/>
    </row>
    <row r="3">
      <c r="A3" s="4"/>
      <c r="B3" s="4"/>
      <c r="C3" s="4"/>
      <c r="D3" s="4"/>
      <c r="E3" s="4"/>
      <c r="F3" s="3"/>
      <c r="G3" s="3"/>
      <c r="H3" s="3"/>
      <c r="I3" s="3"/>
      <c r="J3" s="3"/>
      <c r="K3" s="3"/>
      <c r="L3" s="3"/>
      <c r="M3" s="3"/>
      <c r="N3" s="3"/>
      <c r="O3" s="3"/>
      <c r="P3" s="3"/>
      <c r="Q3" s="3"/>
      <c r="R3" s="3"/>
      <c r="S3" s="3"/>
      <c r="T3" s="3"/>
      <c r="U3" s="3"/>
      <c r="V3" s="3"/>
      <c r="W3" s="3"/>
      <c r="X3" s="3"/>
      <c r="Y3" s="3"/>
      <c r="Z3" s="3"/>
      <c r="AA3" s="3"/>
      <c r="AB3" s="3"/>
      <c r="AC3" s="3"/>
      <c r="AD3" s="3"/>
    </row>
    <row r="4">
      <c r="A4" s="5" t="s">
        <v>1</v>
      </c>
      <c r="B4" s="5" t="s">
        <v>2</v>
      </c>
      <c r="C4" s="4"/>
      <c r="D4" s="5" t="s">
        <v>3</v>
      </c>
      <c r="E4" s="5" t="s">
        <v>4</v>
      </c>
      <c r="F4" s="3"/>
      <c r="G4" s="3"/>
      <c r="H4" s="3"/>
      <c r="I4" s="3"/>
      <c r="J4" s="3"/>
      <c r="K4" s="3"/>
      <c r="L4" s="3"/>
      <c r="M4" s="3"/>
      <c r="N4" s="3"/>
      <c r="O4" s="3"/>
      <c r="P4" s="3"/>
      <c r="Q4" s="3"/>
      <c r="R4" s="3"/>
      <c r="S4" s="3"/>
      <c r="T4" s="3"/>
      <c r="U4" s="3"/>
      <c r="V4" s="3"/>
      <c r="W4" s="3"/>
      <c r="X4" s="3"/>
      <c r="Y4" s="3"/>
      <c r="Z4" s="3"/>
      <c r="AA4" s="3"/>
      <c r="AB4" s="3"/>
      <c r="AC4" s="3"/>
      <c r="AD4" s="3"/>
    </row>
    <row r="5">
      <c r="A5" s="6" t="s">
        <v>5</v>
      </c>
      <c r="B5" s="7" t="s">
        <v>6</v>
      </c>
      <c r="C5" s="8"/>
      <c r="D5" s="9" t="s">
        <v>7</v>
      </c>
      <c r="E5" s="9" t="s">
        <v>8</v>
      </c>
      <c r="F5" s="3"/>
      <c r="G5" s="3"/>
      <c r="H5" s="3"/>
      <c r="I5" s="3"/>
      <c r="J5" s="3"/>
      <c r="K5" s="3"/>
      <c r="L5" s="3"/>
      <c r="M5" s="3"/>
      <c r="N5" s="3"/>
      <c r="O5" s="3"/>
      <c r="P5" s="3"/>
      <c r="Q5" s="3"/>
      <c r="R5" s="3"/>
      <c r="S5" s="3"/>
      <c r="T5" s="3"/>
      <c r="U5" s="3"/>
      <c r="V5" s="3"/>
      <c r="W5" s="3"/>
      <c r="X5" s="3"/>
      <c r="Y5" s="3"/>
      <c r="Z5" s="3"/>
      <c r="AA5" s="3"/>
      <c r="AB5" s="3"/>
      <c r="AC5" s="3"/>
      <c r="AD5" s="3"/>
    </row>
    <row r="6">
      <c r="A6" s="10" t="s">
        <v>9</v>
      </c>
      <c r="B6" s="11" t="s">
        <v>10</v>
      </c>
      <c r="C6" s="8"/>
      <c r="D6" s="12" t="s">
        <v>11</v>
      </c>
      <c r="E6" s="12" t="s">
        <v>12</v>
      </c>
      <c r="F6" s="3"/>
      <c r="G6" s="3"/>
      <c r="H6" s="3"/>
      <c r="I6" s="3"/>
      <c r="J6" s="3"/>
      <c r="K6" s="3"/>
      <c r="L6" s="3"/>
      <c r="M6" s="3"/>
      <c r="N6" s="3"/>
      <c r="O6" s="3"/>
      <c r="P6" s="3"/>
      <c r="Q6" s="3"/>
      <c r="R6" s="3"/>
      <c r="S6" s="3"/>
      <c r="T6" s="3"/>
      <c r="U6" s="3"/>
      <c r="V6" s="3"/>
      <c r="W6" s="3"/>
      <c r="X6" s="3"/>
      <c r="Y6" s="3"/>
      <c r="Z6" s="3"/>
      <c r="AA6" s="3"/>
      <c r="AB6" s="3"/>
      <c r="AC6" s="3"/>
      <c r="AD6" s="3"/>
    </row>
    <row r="7">
      <c r="A7" s="10" t="s">
        <v>13</v>
      </c>
      <c r="B7" s="11" t="s">
        <v>14</v>
      </c>
      <c r="C7" s="8"/>
      <c r="D7" s="12" t="s">
        <v>15</v>
      </c>
      <c r="E7" s="12" t="s">
        <v>16</v>
      </c>
      <c r="F7" s="3"/>
      <c r="G7" s="3"/>
      <c r="H7" s="3"/>
      <c r="I7" s="3"/>
      <c r="J7" s="3"/>
      <c r="K7" s="3"/>
      <c r="L7" s="3"/>
      <c r="M7" s="3"/>
      <c r="N7" s="3"/>
      <c r="O7" s="3"/>
      <c r="P7" s="3"/>
      <c r="Q7" s="3"/>
      <c r="R7" s="3"/>
      <c r="S7" s="3"/>
      <c r="T7" s="3"/>
      <c r="U7" s="3"/>
      <c r="V7" s="3"/>
      <c r="W7" s="3"/>
      <c r="X7" s="3"/>
      <c r="Y7" s="3"/>
      <c r="Z7" s="3"/>
      <c r="AA7" s="3"/>
      <c r="AB7" s="3"/>
      <c r="AC7" s="3"/>
      <c r="AD7" s="3"/>
    </row>
    <row r="8">
      <c r="A8" s="10" t="s">
        <v>17</v>
      </c>
      <c r="B8" s="11" t="s">
        <v>18</v>
      </c>
      <c r="C8" s="8"/>
      <c r="D8" s="12" t="s">
        <v>19</v>
      </c>
      <c r="E8" s="12" t="s">
        <v>20</v>
      </c>
      <c r="F8" s="3"/>
      <c r="G8" s="3"/>
      <c r="H8" s="3"/>
      <c r="I8" s="3"/>
      <c r="J8" s="3"/>
      <c r="K8" s="3"/>
      <c r="L8" s="3"/>
      <c r="M8" s="3"/>
      <c r="N8" s="3"/>
      <c r="O8" s="3"/>
      <c r="P8" s="3"/>
      <c r="Q8" s="3"/>
      <c r="R8" s="3"/>
      <c r="S8" s="3"/>
      <c r="T8" s="3"/>
      <c r="U8" s="3"/>
      <c r="V8" s="3"/>
      <c r="W8" s="3"/>
      <c r="X8" s="3"/>
      <c r="Y8" s="3"/>
      <c r="Z8" s="3"/>
      <c r="AA8" s="3"/>
      <c r="AB8" s="3"/>
      <c r="AC8" s="3"/>
      <c r="AD8" s="3"/>
    </row>
    <row r="9">
      <c r="A9" s="10" t="s">
        <v>21</v>
      </c>
      <c r="B9" s="11" t="s">
        <v>22</v>
      </c>
      <c r="C9" s="8"/>
      <c r="D9" s="12" t="s">
        <v>23</v>
      </c>
      <c r="E9" s="12" t="s">
        <v>24</v>
      </c>
      <c r="F9" s="3"/>
      <c r="G9" s="3"/>
      <c r="H9" s="3"/>
      <c r="I9" s="3"/>
      <c r="J9" s="3"/>
      <c r="K9" s="3"/>
      <c r="L9" s="3"/>
      <c r="M9" s="3"/>
      <c r="N9" s="3"/>
      <c r="O9" s="3"/>
      <c r="P9" s="3"/>
      <c r="Q9" s="3"/>
      <c r="R9" s="3"/>
      <c r="S9" s="3"/>
      <c r="T9" s="3"/>
      <c r="U9" s="3"/>
      <c r="V9" s="3"/>
      <c r="W9" s="3"/>
      <c r="X9" s="3"/>
      <c r="Y9" s="3"/>
      <c r="Z9" s="3"/>
      <c r="AA9" s="3"/>
      <c r="AB9" s="3"/>
      <c r="AC9" s="3"/>
      <c r="AD9" s="3"/>
    </row>
    <row r="10">
      <c r="A10" s="10" t="s">
        <v>25</v>
      </c>
      <c r="B10" s="11" t="s">
        <v>26</v>
      </c>
      <c r="C10" s="8"/>
      <c r="D10" s="12" t="s">
        <v>27</v>
      </c>
      <c r="E10" s="12" t="s">
        <v>28</v>
      </c>
      <c r="F10" s="3"/>
      <c r="G10" s="3"/>
      <c r="H10" s="3"/>
      <c r="I10" s="3"/>
      <c r="J10" s="3"/>
      <c r="K10" s="3"/>
      <c r="L10" s="3"/>
      <c r="M10" s="3"/>
      <c r="N10" s="3"/>
      <c r="O10" s="3"/>
      <c r="P10" s="3"/>
      <c r="Q10" s="3"/>
      <c r="R10" s="3"/>
      <c r="S10" s="3"/>
      <c r="T10" s="3"/>
      <c r="U10" s="3"/>
      <c r="V10" s="3"/>
      <c r="W10" s="3"/>
      <c r="X10" s="3"/>
      <c r="Y10" s="3"/>
      <c r="Z10" s="3"/>
      <c r="AA10" s="3"/>
      <c r="AB10" s="3"/>
      <c r="AC10" s="3"/>
      <c r="AD10" s="3"/>
    </row>
    <row r="11">
      <c r="A11" s="13" t="s">
        <v>29</v>
      </c>
      <c r="B11" s="14" t="s">
        <v>30</v>
      </c>
      <c r="C11" s="15"/>
      <c r="D11" s="16" t="s">
        <v>31</v>
      </c>
      <c r="E11" s="16" t="s">
        <v>32</v>
      </c>
      <c r="F11" s="3"/>
      <c r="G11" s="3"/>
      <c r="H11" s="3"/>
      <c r="I11" s="3"/>
      <c r="J11" s="3"/>
      <c r="K11" s="3"/>
      <c r="L11" s="3"/>
      <c r="M11" s="3"/>
      <c r="N11" s="3"/>
      <c r="O11" s="3"/>
      <c r="P11" s="3"/>
      <c r="Q11" s="3"/>
      <c r="R11" s="3"/>
      <c r="S11" s="3"/>
      <c r="T11" s="3"/>
      <c r="U11" s="3"/>
      <c r="V11" s="3"/>
      <c r="W11" s="3"/>
      <c r="X11" s="3"/>
      <c r="Y11" s="3"/>
      <c r="Z11" s="3"/>
      <c r="AA11" s="3"/>
      <c r="AB11" s="3"/>
      <c r="AC11" s="3"/>
      <c r="AD11" s="3"/>
    </row>
    <row r="12">
      <c r="A12" s="17"/>
      <c r="B12" s="18"/>
      <c r="C12" s="15"/>
      <c r="D12" s="16" t="s">
        <v>33</v>
      </c>
      <c r="E12" s="16" t="s">
        <v>34</v>
      </c>
      <c r="F12" s="3"/>
      <c r="G12" s="3"/>
      <c r="H12" s="3"/>
      <c r="I12" s="3"/>
      <c r="J12" s="3"/>
      <c r="K12" s="3"/>
      <c r="L12" s="3"/>
      <c r="M12" s="3"/>
      <c r="N12" s="3"/>
      <c r="O12" s="3"/>
      <c r="P12" s="3"/>
      <c r="Q12" s="3"/>
      <c r="R12" s="3"/>
      <c r="S12" s="3"/>
      <c r="T12" s="3"/>
      <c r="U12" s="3"/>
      <c r="V12" s="3"/>
      <c r="W12" s="3"/>
      <c r="X12" s="3"/>
      <c r="Y12" s="3"/>
      <c r="Z12" s="3"/>
      <c r="AA12" s="3"/>
      <c r="AB12" s="3"/>
      <c r="AC12" s="3"/>
      <c r="AD12" s="3"/>
    </row>
    <row r="13">
      <c r="A13" s="17"/>
      <c r="B13" s="18"/>
      <c r="C13" s="15"/>
      <c r="D13" s="19" t="s">
        <v>35</v>
      </c>
      <c r="E13" s="20" t="s">
        <v>36</v>
      </c>
      <c r="F13" s="3"/>
      <c r="G13" s="3"/>
      <c r="H13" s="3"/>
      <c r="I13" s="3"/>
      <c r="J13" s="3"/>
      <c r="K13" s="3"/>
      <c r="L13" s="3"/>
      <c r="M13" s="3"/>
      <c r="N13" s="3"/>
      <c r="O13" s="3"/>
      <c r="P13" s="3"/>
      <c r="Q13" s="3"/>
      <c r="R13" s="3"/>
      <c r="S13" s="3"/>
      <c r="T13" s="3"/>
      <c r="U13" s="3"/>
      <c r="V13" s="3"/>
      <c r="W13" s="3"/>
      <c r="X13" s="3"/>
      <c r="Y13" s="3"/>
      <c r="Z13" s="3"/>
      <c r="AA13" s="3"/>
      <c r="AB13" s="3"/>
      <c r="AC13" s="3"/>
      <c r="AD13" s="3"/>
    </row>
    <row r="14">
      <c r="A14" s="21"/>
      <c r="B14" s="22"/>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c r="A15" s="21"/>
      <c r="B15" s="22"/>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c r="A16" s="21"/>
      <c r="B16" s="22"/>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c r="A17" s="21"/>
      <c r="B17" s="22"/>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c r="A18" s="21"/>
      <c r="B18" s="22"/>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c r="A19" s="21"/>
      <c r="B19" s="22"/>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c r="A20" s="21"/>
      <c r="B20" s="22"/>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c r="A21" s="21"/>
      <c r="B21" s="22"/>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c r="A22" s="21"/>
      <c r="B22" s="22"/>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c r="A23" s="21"/>
      <c r="B23" s="2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c r="A24" s="21"/>
      <c r="B24" s="21"/>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c r="A25" s="21"/>
      <c r="B25" s="21"/>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c r="A26" s="21"/>
      <c r="B26" s="21"/>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sheetData>
  <mergeCells count="1">
    <mergeCell ref="A1:B1"/>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4.25"/>
    <col customWidth="1" min="6" max="6" width="18.25"/>
    <col customWidth="1" min="7" max="7" width="25.63"/>
  </cols>
  <sheetData>
    <row r="1">
      <c r="A1" s="23" t="s">
        <v>37</v>
      </c>
      <c r="B1" s="23" t="s">
        <v>38</v>
      </c>
      <c r="C1" s="23" t="s">
        <v>39</v>
      </c>
      <c r="D1" s="23" t="s">
        <v>40</v>
      </c>
      <c r="E1" s="23" t="s">
        <v>41</v>
      </c>
      <c r="F1" s="23" t="s">
        <v>42</v>
      </c>
      <c r="G1" s="23" t="s">
        <v>43</v>
      </c>
      <c r="H1" s="23" t="s">
        <v>44</v>
      </c>
      <c r="I1" s="24"/>
      <c r="J1" s="24"/>
      <c r="K1" s="24"/>
      <c r="L1" s="24"/>
      <c r="M1" s="24"/>
      <c r="N1" s="24"/>
      <c r="O1" s="24"/>
      <c r="P1" s="24"/>
      <c r="Q1" s="24"/>
      <c r="R1" s="24"/>
      <c r="S1" s="24"/>
      <c r="T1" s="24"/>
      <c r="U1" s="24"/>
      <c r="V1" s="24"/>
      <c r="W1" s="24"/>
      <c r="X1" s="24"/>
      <c r="Y1" s="24"/>
    </row>
    <row r="2">
      <c r="A2" s="25" t="s">
        <v>45</v>
      </c>
      <c r="B2" s="26" t="s">
        <v>46</v>
      </c>
      <c r="C2" s="25" t="s">
        <v>47</v>
      </c>
      <c r="D2" s="27" t="s">
        <v>48</v>
      </c>
      <c r="E2" s="28">
        <v>88.0</v>
      </c>
      <c r="F2" s="29">
        <v>1.0</v>
      </c>
      <c r="G2" s="30" t="s">
        <v>49</v>
      </c>
      <c r="H2" s="31"/>
      <c r="I2" s="32"/>
      <c r="J2" s="24"/>
      <c r="K2" s="24"/>
      <c r="L2" s="24"/>
      <c r="M2" s="24"/>
      <c r="N2" s="24"/>
      <c r="O2" s="24"/>
      <c r="P2" s="24"/>
      <c r="Q2" s="24"/>
      <c r="R2" s="24"/>
      <c r="S2" s="24"/>
      <c r="T2" s="24"/>
      <c r="U2" s="24"/>
      <c r="V2" s="24"/>
      <c r="W2" s="24"/>
      <c r="X2" s="24"/>
      <c r="Y2" s="24"/>
    </row>
    <row r="3">
      <c r="A3" s="33" t="s">
        <v>50</v>
      </c>
      <c r="B3" s="34" t="s">
        <v>51</v>
      </c>
      <c r="C3" s="33" t="s">
        <v>52</v>
      </c>
      <c r="D3" s="35" t="s">
        <v>53</v>
      </c>
      <c r="E3" s="36">
        <v>126.0</v>
      </c>
      <c r="F3" s="37">
        <v>0.0</v>
      </c>
      <c r="G3" s="38" t="s">
        <v>54</v>
      </c>
      <c r="H3" s="39"/>
      <c r="I3" s="24"/>
      <c r="J3" s="24"/>
      <c r="K3" s="24"/>
      <c r="L3" s="24"/>
      <c r="M3" s="24"/>
      <c r="N3" s="24"/>
      <c r="O3" s="24"/>
      <c r="P3" s="24"/>
      <c r="Q3" s="24"/>
      <c r="R3" s="24"/>
      <c r="S3" s="24"/>
      <c r="T3" s="24"/>
      <c r="U3" s="24"/>
      <c r="V3" s="24"/>
      <c r="W3" s="24"/>
      <c r="X3" s="24"/>
      <c r="Y3" s="24"/>
    </row>
    <row r="4">
      <c r="A4" s="33" t="s">
        <v>55</v>
      </c>
      <c r="B4" s="34" t="s">
        <v>56</v>
      </c>
      <c r="C4" s="33" t="s">
        <v>47</v>
      </c>
      <c r="D4" s="35" t="s">
        <v>57</v>
      </c>
      <c r="E4" s="36">
        <v>117.0</v>
      </c>
      <c r="F4" s="37">
        <v>0.0</v>
      </c>
      <c r="G4" s="38" t="s">
        <v>58</v>
      </c>
      <c r="H4" s="40" t="s">
        <v>59</v>
      </c>
      <c r="I4" s="24"/>
      <c r="J4" s="24"/>
      <c r="K4" s="24"/>
      <c r="L4" s="24"/>
      <c r="M4" s="24"/>
      <c r="N4" s="24"/>
      <c r="O4" s="24"/>
      <c r="P4" s="24"/>
      <c r="Q4" s="24"/>
      <c r="R4" s="24"/>
      <c r="S4" s="24"/>
      <c r="T4" s="24"/>
      <c r="U4" s="24"/>
      <c r="V4" s="24"/>
      <c r="W4" s="24"/>
      <c r="X4" s="24"/>
      <c r="Y4" s="24"/>
    </row>
    <row r="5">
      <c r="A5" s="33" t="s">
        <v>60</v>
      </c>
      <c r="B5" s="34" t="s">
        <v>61</v>
      </c>
      <c r="C5" s="33" t="s">
        <v>52</v>
      </c>
      <c r="D5" s="35" t="s">
        <v>62</v>
      </c>
      <c r="E5" s="36">
        <v>98.0</v>
      </c>
      <c r="F5" s="37">
        <v>0.0</v>
      </c>
      <c r="G5" s="33" t="s">
        <v>63</v>
      </c>
      <c r="H5" s="40"/>
      <c r="I5" s="24"/>
      <c r="J5" s="24"/>
      <c r="K5" s="24"/>
      <c r="L5" s="24"/>
      <c r="M5" s="24"/>
      <c r="N5" s="24"/>
      <c r="O5" s="24"/>
      <c r="P5" s="24"/>
      <c r="Q5" s="24"/>
      <c r="R5" s="24"/>
      <c r="S5" s="24"/>
      <c r="T5" s="24"/>
      <c r="U5" s="24"/>
      <c r="V5" s="24"/>
      <c r="W5" s="24"/>
      <c r="X5" s="24"/>
      <c r="Y5" s="24"/>
    </row>
    <row r="6">
      <c r="A6" s="33" t="s">
        <v>64</v>
      </c>
      <c r="B6" s="34" t="s">
        <v>65</v>
      </c>
      <c r="C6" s="33" t="s">
        <v>52</v>
      </c>
      <c r="D6" s="35" t="s">
        <v>66</v>
      </c>
      <c r="E6" s="36">
        <v>154.0</v>
      </c>
      <c r="F6" s="37">
        <v>0.0</v>
      </c>
      <c r="G6" s="33" t="s">
        <v>67</v>
      </c>
      <c r="H6" s="40"/>
      <c r="I6" s="24"/>
      <c r="J6" s="24"/>
      <c r="K6" s="24"/>
      <c r="L6" s="24"/>
      <c r="M6" s="24"/>
      <c r="N6" s="24"/>
      <c r="O6" s="24"/>
      <c r="P6" s="24"/>
      <c r="Q6" s="24"/>
      <c r="R6" s="24"/>
      <c r="S6" s="24"/>
      <c r="T6" s="24"/>
      <c r="U6" s="24"/>
      <c r="V6" s="24"/>
      <c r="W6" s="24"/>
      <c r="X6" s="24"/>
      <c r="Y6" s="24"/>
    </row>
    <row r="7">
      <c r="A7" s="33" t="s">
        <v>68</v>
      </c>
      <c r="B7" s="34" t="s">
        <v>69</v>
      </c>
      <c r="C7" s="33" t="s">
        <v>52</v>
      </c>
      <c r="D7" s="35" t="s">
        <v>70</v>
      </c>
      <c r="E7" s="36">
        <v>179.0</v>
      </c>
      <c r="F7" s="37">
        <v>3.0</v>
      </c>
      <c r="G7" s="33" t="s">
        <v>71</v>
      </c>
      <c r="H7" s="40"/>
      <c r="I7" s="24"/>
      <c r="J7" s="24"/>
      <c r="K7" s="24"/>
      <c r="L7" s="24"/>
      <c r="M7" s="24"/>
      <c r="N7" s="24"/>
      <c r="O7" s="24"/>
      <c r="P7" s="24"/>
      <c r="Q7" s="24"/>
      <c r="R7" s="24"/>
      <c r="S7" s="24"/>
      <c r="T7" s="24"/>
      <c r="U7" s="24"/>
      <c r="V7" s="24"/>
      <c r="W7" s="24"/>
      <c r="X7" s="24"/>
      <c r="Y7" s="24"/>
    </row>
    <row r="8">
      <c r="A8" s="33" t="s">
        <v>72</v>
      </c>
      <c r="B8" s="34" t="s">
        <v>73</v>
      </c>
      <c r="C8" s="33" t="s">
        <v>52</v>
      </c>
      <c r="D8" s="35" t="s">
        <v>74</v>
      </c>
      <c r="E8" s="36">
        <v>113.0</v>
      </c>
      <c r="F8" s="37">
        <v>1.0</v>
      </c>
      <c r="G8" s="33" t="s">
        <v>75</v>
      </c>
      <c r="H8" s="40"/>
      <c r="I8" s="24"/>
      <c r="J8" s="24"/>
      <c r="K8" s="24"/>
      <c r="L8" s="24"/>
      <c r="M8" s="24"/>
      <c r="N8" s="24"/>
      <c r="O8" s="24"/>
      <c r="P8" s="24"/>
      <c r="Q8" s="24"/>
      <c r="R8" s="24"/>
      <c r="S8" s="24"/>
      <c r="T8" s="24"/>
      <c r="U8" s="24"/>
      <c r="V8" s="24"/>
      <c r="W8" s="24"/>
      <c r="X8" s="24"/>
      <c r="Y8" s="24"/>
    </row>
    <row r="9">
      <c r="A9" s="33" t="s">
        <v>76</v>
      </c>
      <c r="B9" s="34" t="s">
        <v>77</v>
      </c>
      <c r="C9" s="33" t="s">
        <v>52</v>
      </c>
      <c r="D9" s="35" t="s">
        <v>78</v>
      </c>
      <c r="E9" s="36">
        <v>249.0</v>
      </c>
      <c r="F9" s="37">
        <v>2.0</v>
      </c>
      <c r="G9" s="33" t="s">
        <v>79</v>
      </c>
      <c r="H9" s="40"/>
      <c r="I9" s="24"/>
      <c r="J9" s="24"/>
      <c r="K9" s="24"/>
      <c r="L9" s="24"/>
      <c r="M9" s="24"/>
      <c r="N9" s="24"/>
      <c r="O9" s="24"/>
      <c r="P9" s="24"/>
      <c r="Q9" s="24"/>
      <c r="R9" s="24"/>
      <c r="S9" s="24"/>
      <c r="T9" s="24"/>
      <c r="U9" s="24"/>
      <c r="V9" s="24"/>
      <c r="W9" s="24"/>
      <c r="X9" s="24"/>
      <c r="Y9" s="24"/>
    </row>
    <row r="10">
      <c r="A10" s="33" t="s">
        <v>80</v>
      </c>
      <c r="B10" s="34" t="s">
        <v>81</v>
      </c>
      <c r="C10" s="33" t="s">
        <v>52</v>
      </c>
      <c r="D10" s="35" t="s">
        <v>82</v>
      </c>
      <c r="E10" s="36">
        <v>199.0</v>
      </c>
      <c r="F10" s="37">
        <v>1.0</v>
      </c>
      <c r="G10" s="33" t="s">
        <v>83</v>
      </c>
      <c r="H10" s="40" t="s">
        <v>84</v>
      </c>
      <c r="I10" s="24"/>
      <c r="J10" s="24"/>
      <c r="K10" s="24"/>
      <c r="L10" s="24"/>
      <c r="M10" s="24"/>
      <c r="N10" s="24"/>
      <c r="O10" s="24"/>
      <c r="P10" s="24"/>
      <c r="Q10" s="24"/>
      <c r="R10" s="24"/>
      <c r="S10" s="24"/>
      <c r="T10" s="24"/>
      <c r="U10" s="24"/>
      <c r="V10" s="24"/>
      <c r="W10" s="24"/>
      <c r="X10" s="24"/>
      <c r="Y10" s="24"/>
    </row>
    <row r="11">
      <c r="A11" s="33" t="s">
        <v>85</v>
      </c>
      <c r="B11" s="34" t="s">
        <v>86</v>
      </c>
      <c r="C11" s="33" t="s">
        <v>47</v>
      </c>
      <c r="D11" s="35" t="s">
        <v>87</v>
      </c>
      <c r="E11" s="36">
        <v>112.0</v>
      </c>
      <c r="F11" s="37">
        <v>0.0</v>
      </c>
      <c r="G11" s="33" t="s">
        <v>88</v>
      </c>
      <c r="H11" s="40" t="s">
        <v>89</v>
      </c>
      <c r="I11" s="24"/>
      <c r="J11" s="24"/>
      <c r="K11" s="24"/>
      <c r="L11" s="24"/>
      <c r="M11" s="24"/>
      <c r="N11" s="24"/>
      <c r="O11" s="24"/>
      <c r="P11" s="24"/>
      <c r="Q11" s="24"/>
      <c r="R11" s="24"/>
      <c r="S11" s="24"/>
      <c r="T11" s="24"/>
      <c r="U11" s="24"/>
      <c r="V11" s="24"/>
      <c r="W11" s="24"/>
      <c r="X11" s="24"/>
      <c r="Y11" s="24"/>
    </row>
    <row r="12">
      <c r="A12" s="33" t="s">
        <v>90</v>
      </c>
      <c r="B12" s="34" t="s">
        <v>91</v>
      </c>
      <c r="C12" s="33" t="s">
        <v>52</v>
      </c>
      <c r="D12" s="35" t="s">
        <v>92</v>
      </c>
      <c r="E12" s="36">
        <v>89.0</v>
      </c>
      <c r="F12" s="37">
        <v>0.0</v>
      </c>
      <c r="G12" s="33" t="s">
        <v>93</v>
      </c>
      <c r="H12" s="40"/>
      <c r="I12" s="24"/>
      <c r="J12" s="24"/>
      <c r="K12" s="24"/>
      <c r="L12" s="24"/>
      <c r="M12" s="24"/>
      <c r="N12" s="24"/>
      <c r="O12" s="24"/>
      <c r="P12" s="24"/>
      <c r="Q12" s="24"/>
      <c r="R12" s="24"/>
      <c r="S12" s="24"/>
      <c r="T12" s="24"/>
      <c r="U12" s="24"/>
      <c r="V12" s="24"/>
      <c r="W12" s="24"/>
      <c r="X12" s="24"/>
      <c r="Y12" s="24"/>
    </row>
    <row r="13">
      <c r="A13" s="33" t="s">
        <v>94</v>
      </c>
      <c r="B13" s="34" t="s">
        <v>95</v>
      </c>
      <c r="C13" s="33" t="s">
        <v>52</v>
      </c>
      <c r="D13" s="35" t="s">
        <v>96</v>
      </c>
      <c r="E13" s="36">
        <v>105.0</v>
      </c>
      <c r="F13" s="37">
        <v>0.0</v>
      </c>
      <c r="G13" s="33" t="s">
        <v>97</v>
      </c>
      <c r="H13" s="40" t="s">
        <v>98</v>
      </c>
      <c r="I13" s="24"/>
      <c r="J13" s="24"/>
      <c r="K13" s="24"/>
      <c r="L13" s="24"/>
      <c r="M13" s="24"/>
      <c r="N13" s="24"/>
      <c r="O13" s="24"/>
      <c r="P13" s="24"/>
      <c r="Q13" s="24"/>
      <c r="R13" s="24"/>
      <c r="S13" s="24"/>
      <c r="T13" s="24"/>
      <c r="U13" s="24"/>
      <c r="V13" s="24"/>
      <c r="W13" s="24"/>
      <c r="X13" s="24"/>
      <c r="Y13" s="24"/>
    </row>
    <row r="14">
      <c r="A14" s="33" t="s">
        <v>99</v>
      </c>
      <c r="B14" s="34" t="s">
        <v>100</v>
      </c>
      <c r="C14" s="33" t="s">
        <v>52</v>
      </c>
      <c r="D14" s="35" t="s">
        <v>101</v>
      </c>
      <c r="E14" s="36">
        <v>316.0</v>
      </c>
      <c r="F14" s="37">
        <v>0.0</v>
      </c>
      <c r="G14" s="33" t="s">
        <v>102</v>
      </c>
      <c r="H14" s="40"/>
      <c r="I14" s="24"/>
      <c r="J14" s="24"/>
      <c r="K14" s="24"/>
      <c r="L14" s="24"/>
      <c r="M14" s="24"/>
      <c r="N14" s="24"/>
      <c r="O14" s="24"/>
      <c r="P14" s="24"/>
      <c r="Q14" s="24"/>
      <c r="R14" s="24"/>
      <c r="S14" s="24"/>
      <c r="T14" s="24"/>
      <c r="U14" s="24"/>
      <c r="V14" s="24"/>
      <c r="W14" s="24"/>
      <c r="X14" s="24"/>
      <c r="Y14" s="24"/>
    </row>
    <row r="15">
      <c r="A15" s="33" t="s">
        <v>103</v>
      </c>
      <c r="B15" s="34" t="s">
        <v>104</v>
      </c>
      <c r="C15" s="33" t="s">
        <v>52</v>
      </c>
      <c r="D15" s="35" t="s">
        <v>105</v>
      </c>
      <c r="E15" s="36">
        <v>138.0</v>
      </c>
      <c r="F15" s="37">
        <v>0.0</v>
      </c>
      <c r="G15" s="33" t="s">
        <v>106</v>
      </c>
      <c r="H15" s="40" t="s">
        <v>107</v>
      </c>
      <c r="I15" s="24"/>
      <c r="J15" s="24"/>
      <c r="K15" s="24"/>
      <c r="L15" s="24"/>
      <c r="M15" s="24"/>
      <c r="N15" s="24"/>
      <c r="O15" s="24"/>
      <c r="P15" s="24"/>
      <c r="Q15" s="24"/>
      <c r="R15" s="24"/>
      <c r="S15" s="24"/>
      <c r="T15" s="24"/>
      <c r="U15" s="24"/>
      <c r="V15" s="24"/>
      <c r="W15" s="24"/>
      <c r="X15" s="24"/>
      <c r="Y15" s="24"/>
    </row>
    <row r="16">
      <c r="A16" s="33" t="s">
        <v>108</v>
      </c>
      <c r="B16" s="34" t="s">
        <v>109</v>
      </c>
      <c r="C16" s="33" t="s">
        <v>52</v>
      </c>
      <c r="D16" s="35" t="s">
        <v>110</v>
      </c>
      <c r="E16" s="36">
        <v>218.0</v>
      </c>
      <c r="F16" s="37">
        <v>1.0</v>
      </c>
      <c r="G16" s="33" t="s">
        <v>111</v>
      </c>
      <c r="H16" s="40" t="s">
        <v>112</v>
      </c>
      <c r="I16" s="24"/>
      <c r="J16" s="24"/>
      <c r="K16" s="24"/>
      <c r="L16" s="24"/>
      <c r="M16" s="24"/>
      <c r="N16" s="24"/>
      <c r="O16" s="24"/>
      <c r="P16" s="24"/>
      <c r="Q16" s="24"/>
      <c r="R16" s="24"/>
      <c r="S16" s="24"/>
      <c r="T16" s="24"/>
      <c r="U16" s="24"/>
      <c r="V16" s="24"/>
      <c r="W16" s="24"/>
      <c r="X16" s="24"/>
      <c r="Y16" s="24"/>
    </row>
    <row r="17">
      <c r="A17" s="33" t="s">
        <v>113</v>
      </c>
      <c r="B17" s="34" t="s">
        <v>114</v>
      </c>
      <c r="C17" s="33" t="s">
        <v>52</v>
      </c>
      <c r="D17" s="35" t="s">
        <v>115</v>
      </c>
      <c r="E17" s="36">
        <v>162.0</v>
      </c>
      <c r="F17" s="37">
        <v>0.0</v>
      </c>
      <c r="G17" s="33" t="s">
        <v>116</v>
      </c>
      <c r="H17" s="40" t="s">
        <v>117</v>
      </c>
      <c r="I17" s="24"/>
      <c r="J17" s="24"/>
      <c r="K17" s="24"/>
      <c r="L17" s="24"/>
      <c r="M17" s="24"/>
      <c r="N17" s="24"/>
      <c r="O17" s="24"/>
      <c r="P17" s="24"/>
      <c r="Q17" s="24"/>
      <c r="R17" s="24"/>
      <c r="S17" s="24"/>
      <c r="T17" s="24"/>
      <c r="U17" s="24"/>
      <c r="V17" s="24"/>
      <c r="W17" s="24"/>
      <c r="X17" s="24"/>
      <c r="Y17" s="24"/>
    </row>
    <row r="18">
      <c r="A18" s="33" t="s">
        <v>118</v>
      </c>
      <c r="B18" s="34" t="s">
        <v>119</v>
      </c>
      <c r="C18" s="33" t="s">
        <v>52</v>
      </c>
      <c r="D18" s="35" t="s">
        <v>120</v>
      </c>
      <c r="E18" s="36">
        <v>108.0</v>
      </c>
      <c r="F18" s="37">
        <v>0.0</v>
      </c>
      <c r="G18" s="33" t="s">
        <v>121</v>
      </c>
      <c r="H18" s="40"/>
      <c r="I18" s="24"/>
      <c r="J18" s="24"/>
      <c r="K18" s="24"/>
      <c r="L18" s="24"/>
      <c r="M18" s="24"/>
      <c r="N18" s="24"/>
      <c r="O18" s="24"/>
      <c r="P18" s="24"/>
      <c r="Q18" s="24"/>
      <c r="R18" s="24"/>
      <c r="S18" s="24"/>
      <c r="T18" s="24"/>
      <c r="U18" s="24"/>
      <c r="V18" s="24"/>
      <c r="W18" s="24"/>
      <c r="X18" s="24"/>
      <c r="Y18" s="24"/>
    </row>
    <row r="19">
      <c r="A19" s="33" t="s">
        <v>122</v>
      </c>
      <c r="B19" s="34" t="s">
        <v>123</v>
      </c>
      <c r="C19" s="33" t="s">
        <v>52</v>
      </c>
      <c r="D19" s="35" t="s">
        <v>124</v>
      </c>
      <c r="E19" s="36">
        <v>167.0</v>
      </c>
      <c r="F19" s="37">
        <v>1.0</v>
      </c>
      <c r="G19" s="33" t="s">
        <v>125</v>
      </c>
      <c r="H19" s="40"/>
      <c r="I19" s="24"/>
      <c r="J19" s="24"/>
      <c r="K19" s="24"/>
      <c r="L19" s="24"/>
      <c r="M19" s="24"/>
      <c r="N19" s="24"/>
      <c r="O19" s="24"/>
      <c r="P19" s="24"/>
      <c r="Q19" s="24"/>
      <c r="R19" s="24"/>
      <c r="S19" s="24"/>
      <c r="T19" s="24"/>
      <c r="U19" s="24"/>
      <c r="V19" s="24"/>
      <c r="W19" s="24"/>
      <c r="X19" s="24"/>
      <c r="Y19" s="24"/>
    </row>
    <row r="20">
      <c r="A20" s="33" t="s">
        <v>126</v>
      </c>
      <c r="B20" s="34" t="s">
        <v>127</v>
      </c>
      <c r="C20" s="33" t="s">
        <v>47</v>
      </c>
      <c r="D20" s="35" t="s">
        <v>128</v>
      </c>
      <c r="E20" s="36">
        <v>62.0</v>
      </c>
      <c r="F20" s="37">
        <v>0.0</v>
      </c>
      <c r="G20" s="33" t="s">
        <v>129</v>
      </c>
      <c r="H20" s="40"/>
      <c r="I20" s="24"/>
      <c r="J20" s="24"/>
      <c r="K20" s="24"/>
      <c r="L20" s="24"/>
      <c r="M20" s="24"/>
      <c r="N20" s="24"/>
      <c r="O20" s="24"/>
      <c r="P20" s="24"/>
      <c r="Q20" s="24"/>
      <c r="R20" s="24"/>
      <c r="S20" s="24"/>
      <c r="T20" s="24"/>
      <c r="U20" s="24"/>
      <c r="V20" s="24"/>
      <c r="W20" s="24"/>
      <c r="X20" s="24"/>
      <c r="Y20" s="24"/>
    </row>
    <row r="21">
      <c r="A21" s="33" t="s">
        <v>130</v>
      </c>
      <c r="B21" s="34" t="s">
        <v>131</v>
      </c>
      <c r="C21" s="33" t="s">
        <v>47</v>
      </c>
      <c r="D21" s="35" t="s">
        <v>132</v>
      </c>
      <c r="E21" s="36">
        <v>79.0</v>
      </c>
      <c r="F21" s="37">
        <v>0.0</v>
      </c>
      <c r="G21" s="33" t="s">
        <v>133</v>
      </c>
      <c r="H21" s="40" t="s">
        <v>134</v>
      </c>
      <c r="I21" s="24"/>
      <c r="J21" s="24"/>
      <c r="K21" s="24"/>
      <c r="L21" s="24"/>
      <c r="M21" s="24"/>
      <c r="N21" s="24"/>
      <c r="O21" s="24"/>
      <c r="P21" s="24"/>
      <c r="Q21" s="24"/>
      <c r="R21" s="24"/>
      <c r="S21" s="24"/>
      <c r="T21" s="24"/>
      <c r="U21" s="24"/>
      <c r="V21" s="24"/>
      <c r="W21" s="24"/>
      <c r="X21" s="24"/>
      <c r="Y21" s="24"/>
    </row>
    <row r="22">
      <c r="A22" s="33" t="s">
        <v>135</v>
      </c>
      <c r="B22" s="34" t="s">
        <v>136</v>
      </c>
      <c r="C22" s="33" t="s">
        <v>52</v>
      </c>
      <c r="D22" s="35" t="s">
        <v>137</v>
      </c>
      <c r="E22" s="36">
        <v>61.0</v>
      </c>
      <c r="F22" s="37">
        <v>0.0</v>
      </c>
      <c r="G22" s="33" t="s">
        <v>138</v>
      </c>
      <c r="H22" s="40" t="s">
        <v>139</v>
      </c>
      <c r="I22" s="24"/>
      <c r="J22" s="24"/>
      <c r="K22" s="24"/>
      <c r="L22" s="24"/>
      <c r="M22" s="24"/>
      <c r="N22" s="24"/>
      <c r="O22" s="24"/>
      <c r="P22" s="24"/>
      <c r="Q22" s="24"/>
      <c r="R22" s="24"/>
      <c r="S22" s="24"/>
      <c r="T22" s="24"/>
      <c r="U22" s="24"/>
      <c r="V22" s="24"/>
      <c r="W22" s="24"/>
      <c r="X22" s="24"/>
      <c r="Y22" s="24"/>
    </row>
    <row r="23">
      <c r="A23" s="33" t="s">
        <v>140</v>
      </c>
      <c r="B23" s="34" t="s">
        <v>141</v>
      </c>
      <c r="C23" s="33" t="s">
        <v>52</v>
      </c>
      <c r="D23" s="35" t="s">
        <v>142</v>
      </c>
      <c r="E23" s="36">
        <v>92.0</v>
      </c>
      <c r="F23" s="37">
        <v>1.0</v>
      </c>
      <c r="G23" s="33" t="s">
        <v>143</v>
      </c>
      <c r="H23" s="40" t="s">
        <v>144</v>
      </c>
      <c r="I23" s="24"/>
      <c r="J23" s="24"/>
      <c r="K23" s="24"/>
      <c r="L23" s="24"/>
      <c r="M23" s="24"/>
      <c r="N23" s="24"/>
      <c r="O23" s="24"/>
      <c r="P23" s="24"/>
      <c r="Q23" s="24"/>
      <c r="R23" s="24"/>
      <c r="S23" s="24"/>
      <c r="T23" s="24"/>
      <c r="U23" s="24"/>
      <c r="V23" s="24"/>
      <c r="W23" s="24"/>
      <c r="X23" s="24"/>
      <c r="Y23" s="24"/>
    </row>
    <row r="24">
      <c r="A24" s="33" t="s">
        <v>145</v>
      </c>
      <c r="B24" s="34" t="s">
        <v>146</v>
      </c>
      <c r="C24" s="33" t="s">
        <v>52</v>
      </c>
      <c r="D24" s="35" t="s">
        <v>147</v>
      </c>
      <c r="E24" s="36">
        <v>138.0</v>
      </c>
      <c r="F24" s="37">
        <v>0.0</v>
      </c>
      <c r="G24" s="33" t="s">
        <v>148</v>
      </c>
      <c r="H24" s="40" t="s">
        <v>149</v>
      </c>
      <c r="I24" s="24"/>
      <c r="J24" s="24"/>
      <c r="K24" s="24"/>
      <c r="L24" s="24"/>
      <c r="M24" s="24"/>
      <c r="N24" s="24"/>
      <c r="O24" s="24"/>
      <c r="P24" s="24"/>
      <c r="Q24" s="24"/>
      <c r="R24" s="24"/>
      <c r="S24" s="24"/>
      <c r="T24" s="24"/>
      <c r="U24" s="24"/>
      <c r="V24" s="24"/>
      <c r="W24" s="24"/>
      <c r="X24" s="24"/>
      <c r="Y24" s="24"/>
    </row>
    <row r="25">
      <c r="A25" s="33" t="s">
        <v>150</v>
      </c>
      <c r="B25" s="34" t="s">
        <v>151</v>
      </c>
      <c r="C25" s="33" t="s">
        <v>47</v>
      </c>
      <c r="D25" s="35" t="s">
        <v>152</v>
      </c>
      <c r="E25" s="36">
        <v>94.0</v>
      </c>
      <c r="F25" s="37">
        <v>2.0</v>
      </c>
      <c r="G25" s="33" t="s">
        <v>153</v>
      </c>
      <c r="H25" s="40" t="s">
        <v>154</v>
      </c>
      <c r="I25" s="24"/>
      <c r="J25" s="24"/>
      <c r="K25" s="24"/>
      <c r="L25" s="24"/>
      <c r="M25" s="24"/>
      <c r="N25" s="24"/>
      <c r="O25" s="24"/>
      <c r="P25" s="24"/>
      <c r="Q25" s="24"/>
      <c r="R25" s="24"/>
      <c r="S25" s="24"/>
      <c r="T25" s="24"/>
      <c r="U25" s="24"/>
      <c r="V25" s="24"/>
      <c r="W25" s="24"/>
      <c r="X25" s="24"/>
      <c r="Y25" s="24"/>
    </row>
    <row r="26">
      <c r="A26" s="33" t="s">
        <v>155</v>
      </c>
      <c r="B26" s="34" t="s">
        <v>156</v>
      </c>
      <c r="C26" s="33" t="s">
        <v>52</v>
      </c>
      <c r="D26" s="35" t="s">
        <v>157</v>
      </c>
      <c r="E26" s="36">
        <v>146.0</v>
      </c>
      <c r="F26" s="37">
        <v>1.0</v>
      </c>
      <c r="G26" s="33" t="s">
        <v>158</v>
      </c>
      <c r="H26" s="40" t="s">
        <v>159</v>
      </c>
      <c r="I26" s="24"/>
      <c r="J26" s="24"/>
      <c r="K26" s="24"/>
      <c r="L26" s="24"/>
      <c r="M26" s="24"/>
      <c r="N26" s="24"/>
      <c r="O26" s="24"/>
      <c r="P26" s="24"/>
      <c r="Q26" s="24"/>
      <c r="R26" s="24"/>
      <c r="S26" s="24"/>
      <c r="T26" s="24"/>
      <c r="U26" s="24"/>
      <c r="V26" s="24"/>
      <c r="W26" s="24"/>
      <c r="X26" s="24"/>
      <c r="Y26" s="24"/>
    </row>
    <row r="27">
      <c r="A27" s="33" t="s">
        <v>160</v>
      </c>
      <c r="B27" s="34" t="s">
        <v>161</v>
      </c>
      <c r="C27" s="33" t="s">
        <v>52</v>
      </c>
      <c r="D27" s="35" t="s">
        <v>162</v>
      </c>
      <c r="E27" s="36">
        <v>129.0</v>
      </c>
      <c r="F27" s="37">
        <v>0.0</v>
      </c>
      <c r="G27" s="33" t="s">
        <v>163</v>
      </c>
      <c r="H27" s="40" t="s">
        <v>164</v>
      </c>
      <c r="I27" s="24"/>
      <c r="J27" s="24"/>
      <c r="K27" s="24"/>
      <c r="L27" s="24"/>
      <c r="M27" s="24"/>
      <c r="N27" s="24"/>
      <c r="O27" s="24"/>
      <c r="P27" s="24"/>
      <c r="Q27" s="24"/>
      <c r="R27" s="24"/>
      <c r="S27" s="24"/>
      <c r="T27" s="24"/>
      <c r="U27" s="24"/>
      <c r="V27" s="24"/>
      <c r="W27" s="24"/>
      <c r="X27" s="24"/>
      <c r="Y27" s="24"/>
    </row>
    <row r="28">
      <c r="A28" s="33" t="s">
        <v>165</v>
      </c>
      <c r="B28" s="34" t="s">
        <v>166</v>
      </c>
      <c r="C28" s="33" t="s">
        <v>52</v>
      </c>
      <c r="D28" s="35" t="s">
        <v>167</v>
      </c>
      <c r="E28" s="36">
        <v>157.0</v>
      </c>
      <c r="F28" s="37">
        <v>1.0</v>
      </c>
      <c r="G28" s="33" t="s">
        <v>168</v>
      </c>
      <c r="H28" s="40" t="s">
        <v>169</v>
      </c>
      <c r="I28" s="24"/>
      <c r="J28" s="24"/>
      <c r="K28" s="24"/>
      <c r="L28" s="24"/>
      <c r="M28" s="24"/>
      <c r="N28" s="24"/>
      <c r="O28" s="24"/>
      <c r="P28" s="24"/>
      <c r="Q28" s="24"/>
      <c r="R28" s="24"/>
      <c r="S28" s="24"/>
      <c r="T28" s="24"/>
      <c r="U28" s="24"/>
      <c r="V28" s="24"/>
      <c r="W28" s="24"/>
      <c r="X28" s="24"/>
      <c r="Y28" s="24"/>
    </row>
    <row r="29">
      <c r="A29" s="33" t="s">
        <v>170</v>
      </c>
      <c r="B29" s="34" t="s">
        <v>171</v>
      </c>
      <c r="C29" s="33" t="s">
        <v>52</v>
      </c>
      <c r="D29" s="35" t="s">
        <v>172</v>
      </c>
      <c r="E29" s="36">
        <v>272.0</v>
      </c>
      <c r="F29" s="37">
        <v>1.0</v>
      </c>
      <c r="G29" s="33" t="s">
        <v>173</v>
      </c>
      <c r="H29" s="40" t="s">
        <v>159</v>
      </c>
      <c r="I29" s="24"/>
      <c r="J29" s="24"/>
      <c r="K29" s="24"/>
      <c r="L29" s="24"/>
      <c r="M29" s="24"/>
      <c r="N29" s="24"/>
      <c r="O29" s="24"/>
      <c r="P29" s="24"/>
      <c r="Q29" s="24"/>
      <c r="R29" s="24"/>
      <c r="S29" s="24"/>
      <c r="T29" s="24"/>
      <c r="U29" s="24"/>
      <c r="V29" s="24"/>
      <c r="W29" s="24"/>
      <c r="X29" s="24"/>
      <c r="Y29" s="24"/>
    </row>
    <row r="30">
      <c r="A30" s="33" t="s">
        <v>174</v>
      </c>
      <c r="B30" s="34" t="s">
        <v>175</v>
      </c>
      <c r="C30" s="33" t="s">
        <v>47</v>
      </c>
      <c r="D30" s="35" t="s">
        <v>176</v>
      </c>
      <c r="E30" s="36">
        <v>98.0</v>
      </c>
      <c r="F30" s="37">
        <v>0.0</v>
      </c>
      <c r="G30" s="33" t="s">
        <v>177</v>
      </c>
      <c r="H30" s="40" t="s">
        <v>178</v>
      </c>
      <c r="I30" s="24"/>
      <c r="J30" s="24"/>
      <c r="K30" s="24"/>
      <c r="L30" s="24"/>
      <c r="M30" s="24"/>
      <c r="N30" s="24"/>
      <c r="O30" s="24"/>
      <c r="P30" s="24"/>
      <c r="Q30" s="24"/>
      <c r="R30" s="24"/>
      <c r="S30" s="24"/>
      <c r="T30" s="24"/>
      <c r="U30" s="24"/>
      <c r="V30" s="24"/>
      <c r="W30" s="24"/>
      <c r="X30" s="24"/>
      <c r="Y30" s="24"/>
    </row>
    <row r="31">
      <c r="A31" s="33" t="s">
        <v>179</v>
      </c>
      <c r="B31" s="34" t="s">
        <v>180</v>
      </c>
      <c r="C31" s="33" t="s">
        <v>52</v>
      </c>
      <c r="D31" s="35" t="s">
        <v>181</v>
      </c>
      <c r="E31" s="36">
        <v>151.0</v>
      </c>
      <c r="F31" s="37">
        <v>0.0</v>
      </c>
      <c r="G31" s="33" t="s">
        <v>182</v>
      </c>
      <c r="H31" s="40" t="s">
        <v>107</v>
      </c>
      <c r="I31" s="24"/>
      <c r="J31" s="24"/>
      <c r="K31" s="24"/>
      <c r="L31" s="24"/>
      <c r="M31" s="24"/>
      <c r="N31" s="24"/>
      <c r="O31" s="24"/>
      <c r="P31" s="24"/>
      <c r="Q31" s="24"/>
      <c r="R31" s="24"/>
      <c r="S31" s="24"/>
      <c r="T31" s="24"/>
      <c r="U31" s="24"/>
      <c r="V31" s="24"/>
      <c r="W31" s="24"/>
      <c r="X31" s="24"/>
      <c r="Y31" s="24"/>
    </row>
    <row r="32">
      <c r="A32" s="33" t="s">
        <v>183</v>
      </c>
      <c r="B32" s="34" t="s">
        <v>184</v>
      </c>
      <c r="C32" s="33" t="s">
        <v>52</v>
      </c>
      <c r="D32" s="35" t="s">
        <v>185</v>
      </c>
      <c r="E32" s="36">
        <v>212.0</v>
      </c>
      <c r="F32" s="37">
        <v>1.0</v>
      </c>
      <c r="G32" s="33" t="s">
        <v>186</v>
      </c>
      <c r="H32" s="40" t="s">
        <v>187</v>
      </c>
      <c r="I32" s="24"/>
      <c r="J32" s="24"/>
      <c r="K32" s="24"/>
      <c r="L32" s="24"/>
      <c r="M32" s="24"/>
      <c r="N32" s="24"/>
      <c r="O32" s="24"/>
      <c r="P32" s="24"/>
      <c r="Q32" s="24"/>
      <c r="R32" s="24"/>
      <c r="S32" s="24"/>
      <c r="T32" s="24"/>
      <c r="U32" s="24"/>
      <c r="V32" s="24"/>
      <c r="W32" s="24"/>
      <c r="X32" s="24"/>
      <c r="Y32" s="24"/>
    </row>
    <row r="33">
      <c r="A33" s="33" t="s">
        <v>188</v>
      </c>
      <c r="B33" s="34" t="s">
        <v>189</v>
      </c>
      <c r="C33" s="33" t="s">
        <v>52</v>
      </c>
      <c r="D33" s="35" t="s">
        <v>190</v>
      </c>
      <c r="E33" s="36">
        <v>117.0</v>
      </c>
      <c r="F33" s="37">
        <v>0.0</v>
      </c>
      <c r="G33" s="33" t="s">
        <v>191</v>
      </c>
      <c r="H33" s="40" t="s">
        <v>192</v>
      </c>
      <c r="I33" s="24"/>
      <c r="J33" s="24"/>
      <c r="K33" s="24"/>
      <c r="L33" s="24"/>
      <c r="M33" s="24"/>
      <c r="N33" s="24"/>
      <c r="O33" s="24"/>
      <c r="P33" s="24"/>
      <c r="Q33" s="24"/>
      <c r="R33" s="24"/>
      <c r="S33" s="24"/>
      <c r="T33" s="24"/>
      <c r="U33" s="24"/>
      <c r="V33" s="24"/>
      <c r="W33" s="24"/>
      <c r="X33" s="24"/>
      <c r="Y33" s="24"/>
    </row>
    <row r="34">
      <c r="A34" s="33" t="s">
        <v>193</v>
      </c>
      <c r="B34" s="34" t="s">
        <v>194</v>
      </c>
      <c r="C34" s="33" t="s">
        <v>47</v>
      </c>
      <c r="D34" s="35" t="s">
        <v>195</v>
      </c>
      <c r="E34" s="36">
        <v>50.0</v>
      </c>
      <c r="F34" s="37">
        <v>0.0</v>
      </c>
      <c r="G34" s="33" t="s">
        <v>196</v>
      </c>
      <c r="H34" s="40"/>
      <c r="I34" s="24"/>
      <c r="J34" s="24"/>
      <c r="K34" s="24"/>
      <c r="L34" s="24"/>
      <c r="M34" s="24"/>
      <c r="N34" s="24"/>
      <c r="O34" s="24"/>
      <c r="P34" s="24"/>
      <c r="Q34" s="24"/>
      <c r="R34" s="24"/>
      <c r="S34" s="24"/>
      <c r="T34" s="24"/>
      <c r="U34" s="24"/>
      <c r="V34" s="24"/>
      <c r="W34" s="24"/>
      <c r="X34" s="24"/>
      <c r="Y34" s="24"/>
    </row>
    <row r="35">
      <c r="A35" s="33" t="s">
        <v>197</v>
      </c>
      <c r="B35" s="34" t="s">
        <v>198</v>
      </c>
      <c r="C35" s="33" t="s">
        <v>52</v>
      </c>
      <c r="D35" s="35" t="s">
        <v>199</v>
      </c>
      <c r="E35" s="36">
        <v>57.0</v>
      </c>
      <c r="F35" s="37">
        <v>0.0</v>
      </c>
      <c r="G35" s="33" t="s">
        <v>200</v>
      </c>
      <c r="H35" s="40" t="s">
        <v>164</v>
      </c>
      <c r="I35" s="24"/>
      <c r="J35" s="24"/>
      <c r="K35" s="24"/>
      <c r="L35" s="24"/>
      <c r="M35" s="24"/>
      <c r="N35" s="24"/>
      <c r="O35" s="24"/>
      <c r="P35" s="24"/>
      <c r="Q35" s="24"/>
      <c r="R35" s="24"/>
      <c r="S35" s="24"/>
      <c r="T35" s="24"/>
      <c r="U35" s="24"/>
      <c r="V35" s="24"/>
      <c r="W35" s="24"/>
      <c r="X35" s="24"/>
      <c r="Y35" s="24"/>
    </row>
    <row r="36">
      <c r="A36" s="33" t="s">
        <v>201</v>
      </c>
      <c r="B36" s="34" t="s">
        <v>202</v>
      </c>
      <c r="C36" s="33" t="s">
        <v>52</v>
      </c>
      <c r="D36" s="35" t="s">
        <v>203</v>
      </c>
      <c r="E36" s="36">
        <v>107.0</v>
      </c>
      <c r="F36" s="37">
        <v>1.0</v>
      </c>
      <c r="G36" s="33" t="s">
        <v>204</v>
      </c>
      <c r="H36" s="40" t="s">
        <v>205</v>
      </c>
      <c r="I36" s="24"/>
      <c r="J36" s="24"/>
      <c r="K36" s="24"/>
      <c r="L36" s="24"/>
      <c r="M36" s="24"/>
      <c r="N36" s="24"/>
      <c r="O36" s="24"/>
      <c r="P36" s="24"/>
      <c r="Q36" s="24"/>
      <c r="R36" s="24"/>
      <c r="S36" s="24"/>
      <c r="T36" s="24"/>
      <c r="U36" s="24"/>
      <c r="V36" s="24"/>
      <c r="W36" s="24"/>
      <c r="X36" s="24"/>
      <c r="Y36" s="24"/>
    </row>
    <row r="37">
      <c r="A37" s="33" t="s">
        <v>206</v>
      </c>
      <c r="B37" s="34" t="s">
        <v>207</v>
      </c>
      <c r="C37" s="33" t="s">
        <v>52</v>
      </c>
      <c r="D37" s="35" t="s">
        <v>208</v>
      </c>
      <c r="E37" s="36">
        <v>103.0</v>
      </c>
      <c r="F37" s="37">
        <v>0.0</v>
      </c>
      <c r="G37" s="33" t="s">
        <v>209</v>
      </c>
      <c r="H37" s="40" t="s">
        <v>210</v>
      </c>
      <c r="I37" s="24"/>
      <c r="J37" s="24"/>
      <c r="K37" s="24"/>
      <c r="L37" s="24"/>
      <c r="M37" s="24"/>
      <c r="N37" s="24"/>
      <c r="O37" s="24"/>
      <c r="P37" s="24"/>
      <c r="Q37" s="24"/>
      <c r="R37" s="24"/>
      <c r="S37" s="24"/>
      <c r="T37" s="24"/>
      <c r="U37" s="24"/>
      <c r="V37" s="24"/>
      <c r="W37" s="24"/>
      <c r="X37" s="24"/>
      <c r="Y37" s="24"/>
    </row>
    <row r="38">
      <c r="A38" s="33" t="s">
        <v>211</v>
      </c>
      <c r="B38" s="34" t="s">
        <v>212</v>
      </c>
      <c r="C38" s="33" t="s">
        <v>52</v>
      </c>
      <c r="D38" s="35" t="s">
        <v>213</v>
      </c>
      <c r="E38" s="36">
        <v>68.0</v>
      </c>
      <c r="F38" s="37">
        <v>0.0</v>
      </c>
      <c r="G38" s="33" t="s">
        <v>214</v>
      </c>
      <c r="H38" s="40" t="s">
        <v>215</v>
      </c>
      <c r="I38" s="24"/>
      <c r="J38" s="24"/>
      <c r="K38" s="24"/>
      <c r="L38" s="24"/>
      <c r="M38" s="24"/>
      <c r="N38" s="24"/>
      <c r="O38" s="24"/>
      <c r="P38" s="24"/>
      <c r="Q38" s="24"/>
      <c r="R38" s="24"/>
      <c r="S38" s="24"/>
      <c r="T38" s="24"/>
      <c r="U38" s="24"/>
      <c r="V38" s="24"/>
      <c r="W38" s="24"/>
      <c r="X38" s="24"/>
      <c r="Y38" s="24"/>
    </row>
    <row r="39">
      <c r="A39" s="33" t="s">
        <v>216</v>
      </c>
      <c r="B39" s="34" t="s">
        <v>217</v>
      </c>
      <c r="C39" s="33" t="s">
        <v>52</v>
      </c>
      <c r="D39" s="35" t="s">
        <v>218</v>
      </c>
      <c r="E39" s="36">
        <v>140.0</v>
      </c>
      <c r="F39" s="37">
        <v>0.0</v>
      </c>
      <c r="G39" s="33" t="s">
        <v>219</v>
      </c>
      <c r="H39" s="40" t="s">
        <v>169</v>
      </c>
      <c r="I39" s="24"/>
      <c r="J39" s="24"/>
      <c r="K39" s="24"/>
      <c r="L39" s="24"/>
      <c r="M39" s="24"/>
      <c r="N39" s="24"/>
      <c r="O39" s="24"/>
      <c r="P39" s="24"/>
      <c r="Q39" s="24"/>
      <c r="R39" s="24"/>
      <c r="S39" s="24"/>
      <c r="T39" s="24"/>
      <c r="U39" s="24"/>
      <c r="V39" s="24"/>
      <c r="W39" s="24"/>
      <c r="X39" s="24"/>
      <c r="Y39" s="24"/>
    </row>
    <row r="40">
      <c r="A40" s="33" t="s">
        <v>220</v>
      </c>
      <c r="B40" s="34" t="s">
        <v>221</v>
      </c>
      <c r="C40" s="33" t="s">
        <v>52</v>
      </c>
      <c r="D40" s="35" t="s">
        <v>222</v>
      </c>
      <c r="E40" s="36">
        <v>80.0</v>
      </c>
      <c r="F40" s="37">
        <v>0.0</v>
      </c>
      <c r="G40" s="33" t="s">
        <v>223</v>
      </c>
      <c r="H40" s="40" t="s">
        <v>215</v>
      </c>
      <c r="I40" s="24"/>
      <c r="J40" s="24"/>
      <c r="K40" s="24"/>
      <c r="L40" s="24"/>
      <c r="M40" s="24"/>
      <c r="N40" s="24"/>
      <c r="O40" s="24"/>
      <c r="P40" s="24"/>
      <c r="Q40" s="24"/>
      <c r="R40" s="24"/>
      <c r="S40" s="24"/>
      <c r="T40" s="24"/>
      <c r="U40" s="24"/>
      <c r="V40" s="24"/>
      <c r="W40" s="24"/>
      <c r="X40" s="24"/>
      <c r="Y40" s="24"/>
    </row>
    <row r="41">
      <c r="A41" s="33" t="s">
        <v>224</v>
      </c>
      <c r="B41" s="34" t="s">
        <v>225</v>
      </c>
      <c r="C41" s="33" t="s">
        <v>52</v>
      </c>
      <c r="D41" s="35" t="s">
        <v>226</v>
      </c>
      <c r="E41" s="36">
        <v>67.0</v>
      </c>
      <c r="F41" s="37">
        <v>1.0</v>
      </c>
      <c r="G41" s="33" t="s">
        <v>227</v>
      </c>
      <c r="H41" s="40" t="s">
        <v>215</v>
      </c>
      <c r="I41" s="24"/>
      <c r="J41" s="24"/>
      <c r="K41" s="24"/>
      <c r="L41" s="24"/>
      <c r="M41" s="24"/>
      <c r="N41" s="24"/>
      <c r="O41" s="24"/>
      <c r="P41" s="24"/>
      <c r="Q41" s="24"/>
      <c r="R41" s="24"/>
      <c r="S41" s="24"/>
      <c r="T41" s="24"/>
      <c r="U41" s="24"/>
      <c r="V41" s="24"/>
      <c r="W41" s="24"/>
      <c r="X41" s="24"/>
      <c r="Y41" s="24"/>
    </row>
    <row r="42">
      <c r="A42" s="33" t="s">
        <v>228</v>
      </c>
      <c r="B42" s="34" t="s">
        <v>229</v>
      </c>
      <c r="C42" s="33" t="s">
        <v>52</v>
      </c>
      <c r="D42" s="35" t="s">
        <v>230</v>
      </c>
      <c r="E42" s="36">
        <v>222.0</v>
      </c>
      <c r="F42" s="37">
        <v>2.0</v>
      </c>
      <c r="G42" s="33" t="s">
        <v>231</v>
      </c>
      <c r="H42" s="40" t="s">
        <v>232</v>
      </c>
      <c r="I42" s="24"/>
      <c r="J42" s="24"/>
      <c r="K42" s="24"/>
      <c r="L42" s="24"/>
      <c r="M42" s="24"/>
      <c r="N42" s="24"/>
      <c r="O42" s="24"/>
      <c r="P42" s="24"/>
      <c r="Q42" s="24"/>
      <c r="R42" s="24"/>
      <c r="S42" s="24"/>
      <c r="T42" s="24"/>
      <c r="U42" s="24"/>
      <c r="V42" s="24"/>
      <c r="W42" s="24"/>
      <c r="X42" s="24"/>
      <c r="Y42" s="24"/>
    </row>
    <row r="43">
      <c r="A43" s="33" t="s">
        <v>233</v>
      </c>
      <c r="B43" s="34" t="s">
        <v>234</v>
      </c>
      <c r="C43" s="33" t="s">
        <v>52</v>
      </c>
      <c r="D43" s="35" t="s">
        <v>235</v>
      </c>
      <c r="E43" s="36">
        <v>118.0</v>
      </c>
      <c r="F43" s="37">
        <v>1.0</v>
      </c>
      <c r="G43" s="33" t="s">
        <v>236</v>
      </c>
      <c r="H43" s="40" t="s">
        <v>210</v>
      </c>
      <c r="I43" s="24"/>
      <c r="J43" s="24"/>
      <c r="K43" s="24"/>
      <c r="L43" s="24"/>
      <c r="M43" s="24"/>
      <c r="N43" s="24"/>
      <c r="O43" s="24"/>
      <c r="P43" s="24"/>
      <c r="Q43" s="24"/>
      <c r="R43" s="24"/>
      <c r="S43" s="24"/>
      <c r="T43" s="24"/>
      <c r="U43" s="24"/>
      <c r="V43" s="24"/>
      <c r="W43" s="24"/>
      <c r="X43" s="24"/>
      <c r="Y43" s="24"/>
    </row>
    <row r="44">
      <c r="A44" s="33" t="s">
        <v>237</v>
      </c>
      <c r="B44" s="34" t="s">
        <v>238</v>
      </c>
      <c r="C44" s="33" t="s">
        <v>52</v>
      </c>
      <c r="D44" s="35" t="s">
        <v>239</v>
      </c>
      <c r="E44" s="36">
        <v>192.0</v>
      </c>
      <c r="F44" s="37">
        <v>2.0</v>
      </c>
      <c r="G44" s="33" t="s">
        <v>240</v>
      </c>
      <c r="H44" s="40" t="s">
        <v>241</v>
      </c>
      <c r="I44" s="24"/>
      <c r="J44" s="24"/>
      <c r="K44" s="24"/>
      <c r="L44" s="24"/>
      <c r="M44" s="24"/>
      <c r="N44" s="24"/>
      <c r="O44" s="24"/>
      <c r="P44" s="24"/>
      <c r="Q44" s="24"/>
      <c r="R44" s="24"/>
      <c r="S44" s="24"/>
      <c r="T44" s="24"/>
      <c r="U44" s="24"/>
      <c r="V44" s="24"/>
      <c r="W44" s="24"/>
      <c r="X44" s="24"/>
      <c r="Y44" s="24"/>
    </row>
    <row r="45">
      <c r="A45" s="33" t="s">
        <v>242</v>
      </c>
      <c r="B45" s="34" t="s">
        <v>243</v>
      </c>
      <c r="C45" s="33" t="s">
        <v>52</v>
      </c>
      <c r="D45" s="35" t="s">
        <v>244</v>
      </c>
      <c r="E45" s="36">
        <v>44.0</v>
      </c>
      <c r="F45" s="37">
        <v>0.0</v>
      </c>
      <c r="G45" s="33" t="s">
        <v>245</v>
      </c>
      <c r="H45" s="40" t="s">
        <v>215</v>
      </c>
      <c r="I45" s="24"/>
      <c r="J45" s="24"/>
      <c r="K45" s="24"/>
      <c r="L45" s="24"/>
      <c r="M45" s="24"/>
      <c r="N45" s="24"/>
      <c r="O45" s="24"/>
      <c r="P45" s="24"/>
      <c r="Q45" s="24"/>
      <c r="R45" s="24"/>
      <c r="S45" s="24"/>
      <c r="T45" s="24"/>
      <c r="U45" s="24"/>
      <c r="V45" s="24"/>
      <c r="W45" s="24"/>
      <c r="X45" s="24"/>
      <c r="Y45" s="24"/>
    </row>
    <row r="46">
      <c r="A46" s="33" t="s">
        <v>246</v>
      </c>
      <c r="B46" s="34" t="s">
        <v>247</v>
      </c>
      <c r="C46" s="33" t="s">
        <v>52</v>
      </c>
      <c r="D46" s="35" t="s">
        <v>248</v>
      </c>
      <c r="E46" s="36">
        <v>66.0</v>
      </c>
      <c r="F46" s="37">
        <v>0.0</v>
      </c>
      <c r="G46" s="33" t="s">
        <v>249</v>
      </c>
      <c r="H46" s="40" t="s">
        <v>215</v>
      </c>
      <c r="I46" s="24"/>
      <c r="J46" s="24"/>
      <c r="K46" s="24"/>
      <c r="L46" s="24"/>
      <c r="M46" s="24"/>
      <c r="N46" s="24"/>
      <c r="O46" s="24"/>
      <c r="P46" s="24"/>
      <c r="Q46" s="24"/>
      <c r="R46" s="24"/>
      <c r="S46" s="24"/>
      <c r="T46" s="24"/>
      <c r="U46" s="24"/>
      <c r="V46" s="24"/>
      <c r="W46" s="24"/>
      <c r="X46" s="24"/>
      <c r="Y46" s="24"/>
    </row>
    <row r="47">
      <c r="A47" s="33" t="s">
        <v>250</v>
      </c>
      <c r="B47" s="34" t="s">
        <v>251</v>
      </c>
      <c r="C47" s="33" t="s">
        <v>52</v>
      </c>
      <c r="D47" s="35" t="s">
        <v>252</v>
      </c>
      <c r="E47" s="36">
        <v>82.0</v>
      </c>
      <c r="F47" s="37">
        <v>1.0</v>
      </c>
      <c r="G47" s="33" t="s">
        <v>253</v>
      </c>
      <c r="H47" s="40" t="s">
        <v>210</v>
      </c>
      <c r="I47" s="24"/>
      <c r="J47" s="24"/>
      <c r="K47" s="24"/>
      <c r="L47" s="24"/>
      <c r="M47" s="24"/>
      <c r="N47" s="24"/>
      <c r="O47" s="24"/>
      <c r="P47" s="24"/>
      <c r="Q47" s="24"/>
      <c r="R47" s="24"/>
      <c r="S47" s="24"/>
      <c r="T47" s="24"/>
      <c r="U47" s="24"/>
      <c r="V47" s="24"/>
      <c r="W47" s="24"/>
      <c r="X47" s="24"/>
      <c r="Y47" s="24"/>
    </row>
    <row r="48">
      <c r="A48" s="33" t="s">
        <v>254</v>
      </c>
      <c r="B48" s="34" t="s">
        <v>255</v>
      </c>
      <c r="C48" s="33" t="s">
        <v>52</v>
      </c>
      <c r="D48" s="35" t="s">
        <v>256</v>
      </c>
      <c r="E48" s="36">
        <v>63.0</v>
      </c>
      <c r="F48" s="37">
        <v>0.0</v>
      </c>
      <c r="G48" s="33" t="s">
        <v>257</v>
      </c>
      <c r="H48" s="40" t="s">
        <v>192</v>
      </c>
      <c r="I48" s="24"/>
      <c r="J48" s="24"/>
      <c r="K48" s="24"/>
      <c r="L48" s="24"/>
      <c r="M48" s="24"/>
      <c r="N48" s="24"/>
      <c r="O48" s="24"/>
      <c r="P48" s="24"/>
      <c r="Q48" s="24"/>
      <c r="R48" s="24"/>
      <c r="S48" s="24"/>
      <c r="T48" s="24"/>
      <c r="U48" s="24"/>
      <c r="V48" s="24"/>
      <c r="W48" s="24"/>
      <c r="X48" s="24"/>
      <c r="Y48" s="24"/>
    </row>
    <row r="49">
      <c r="A49" s="33" t="s">
        <v>258</v>
      </c>
      <c r="B49" s="34" t="s">
        <v>259</v>
      </c>
      <c r="C49" s="33" t="s">
        <v>52</v>
      </c>
      <c r="D49" s="35" t="s">
        <v>260</v>
      </c>
      <c r="E49" s="36">
        <v>104.0</v>
      </c>
      <c r="F49" s="37">
        <v>0.0</v>
      </c>
      <c r="G49" s="33" t="s">
        <v>261</v>
      </c>
      <c r="H49" s="40" t="s">
        <v>262</v>
      </c>
      <c r="I49" s="24"/>
      <c r="J49" s="24"/>
      <c r="K49" s="24"/>
      <c r="L49" s="24"/>
      <c r="M49" s="24"/>
      <c r="N49" s="24"/>
      <c r="O49" s="24"/>
      <c r="P49" s="24"/>
      <c r="Q49" s="24"/>
      <c r="R49" s="24"/>
      <c r="S49" s="24"/>
      <c r="T49" s="24"/>
      <c r="U49" s="24"/>
      <c r="V49" s="24"/>
      <c r="W49" s="24"/>
      <c r="X49" s="24"/>
      <c r="Y49" s="24"/>
    </row>
    <row r="50">
      <c r="A50" s="33" t="s">
        <v>263</v>
      </c>
      <c r="B50" s="34" t="s">
        <v>264</v>
      </c>
      <c r="C50" s="33" t="s">
        <v>52</v>
      </c>
      <c r="D50" s="35" t="s">
        <v>265</v>
      </c>
      <c r="E50" s="36">
        <v>60.0</v>
      </c>
      <c r="F50" s="37">
        <v>0.0</v>
      </c>
      <c r="G50" s="33" t="s">
        <v>266</v>
      </c>
      <c r="H50" s="40" t="s">
        <v>267</v>
      </c>
      <c r="I50" s="24"/>
      <c r="J50" s="24"/>
      <c r="K50" s="24"/>
      <c r="L50" s="24"/>
      <c r="M50" s="24"/>
      <c r="N50" s="24"/>
      <c r="O50" s="24"/>
      <c r="P50" s="24"/>
      <c r="Q50" s="24"/>
      <c r="R50" s="24"/>
      <c r="S50" s="24"/>
      <c r="T50" s="24"/>
      <c r="U50" s="24"/>
      <c r="V50" s="24"/>
      <c r="W50" s="24"/>
      <c r="X50" s="24"/>
      <c r="Y50" s="24"/>
    </row>
    <row r="51">
      <c r="A51" s="33" t="s">
        <v>268</v>
      </c>
      <c r="B51" s="34" t="s">
        <v>269</v>
      </c>
      <c r="C51" s="33" t="s">
        <v>52</v>
      </c>
      <c r="D51" s="35" t="s">
        <v>270</v>
      </c>
      <c r="E51" s="36">
        <v>77.0</v>
      </c>
      <c r="F51" s="37">
        <v>0.0</v>
      </c>
      <c r="G51" s="33" t="s">
        <v>271</v>
      </c>
      <c r="H51" s="40" t="s">
        <v>272</v>
      </c>
      <c r="I51" s="24"/>
      <c r="J51" s="24"/>
      <c r="K51" s="24"/>
      <c r="L51" s="24"/>
      <c r="M51" s="24"/>
      <c r="N51" s="24"/>
      <c r="O51" s="24"/>
      <c r="P51" s="24"/>
      <c r="Q51" s="24"/>
      <c r="R51" s="24"/>
      <c r="S51" s="24"/>
      <c r="T51" s="24"/>
      <c r="U51" s="24"/>
      <c r="V51" s="24"/>
      <c r="W51" s="24"/>
      <c r="X51" s="24"/>
      <c r="Y51" s="24"/>
    </row>
    <row r="52">
      <c r="A52" s="33" t="s">
        <v>273</v>
      </c>
      <c r="B52" s="34" t="s">
        <v>274</v>
      </c>
      <c r="C52" s="33" t="s">
        <v>52</v>
      </c>
      <c r="D52" s="35" t="s">
        <v>275</v>
      </c>
      <c r="E52" s="36">
        <v>66.0</v>
      </c>
      <c r="F52" s="37">
        <v>0.0</v>
      </c>
      <c r="G52" s="33" t="s">
        <v>276</v>
      </c>
      <c r="H52" s="40" t="s">
        <v>210</v>
      </c>
      <c r="I52" s="24"/>
      <c r="J52" s="24"/>
      <c r="K52" s="24"/>
      <c r="L52" s="24"/>
      <c r="M52" s="24"/>
      <c r="N52" s="24"/>
      <c r="O52" s="24"/>
      <c r="P52" s="24"/>
      <c r="Q52" s="24"/>
      <c r="R52" s="24"/>
      <c r="S52" s="24"/>
      <c r="T52" s="24"/>
      <c r="U52" s="24"/>
      <c r="V52" s="24"/>
      <c r="W52" s="24"/>
      <c r="X52" s="24"/>
      <c r="Y52" s="24"/>
    </row>
    <row r="53">
      <c r="A53" s="33" t="s">
        <v>277</v>
      </c>
      <c r="B53" s="34" t="s">
        <v>278</v>
      </c>
      <c r="C53" s="33" t="s">
        <v>52</v>
      </c>
      <c r="D53" s="35" t="s">
        <v>279</v>
      </c>
      <c r="E53" s="36">
        <v>64.0</v>
      </c>
      <c r="F53" s="37">
        <v>0.0</v>
      </c>
      <c r="G53" s="33" t="s">
        <v>280</v>
      </c>
      <c r="H53" s="40" t="s">
        <v>281</v>
      </c>
      <c r="I53" s="24"/>
      <c r="J53" s="24"/>
      <c r="K53" s="24"/>
      <c r="L53" s="24"/>
      <c r="M53" s="24"/>
      <c r="N53" s="24"/>
      <c r="O53" s="24"/>
      <c r="P53" s="24"/>
      <c r="Q53" s="24"/>
      <c r="R53" s="24"/>
      <c r="S53" s="24"/>
      <c r="T53" s="24"/>
      <c r="U53" s="24"/>
      <c r="V53" s="24"/>
      <c r="W53" s="24"/>
      <c r="X53" s="24"/>
      <c r="Y53" s="24"/>
    </row>
    <row r="54">
      <c r="A54" s="33" t="s">
        <v>282</v>
      </c>
      <c r="B54" s="34" t="s">
        <v>283</v>
      </c>
      <c r="C54" s="33" t="s">
        <v>52</v>
      </c>
      <c r="D54" s="35" t="s">
        <v>284</v>
      </c>
      <c r="E54" s="36">
        <v>118.0</v>
      </c>
      <c r="F54" s="37">
        <v>2.0</v>
      </c>
      <c r="G54" s="33" t="s">
        <v>285</v>
      </c>
      <c r="H54" s="40" t="s">
        <v>286</v>
      </c>
      <c r="I54" s="24"/>
      <c r="J54" s="24"/>
      <c r="K54" s="24"/>
      <c r="L54" s="24"/>
      <c r="M54" s="24"/>
      <c r="N54" s="24"/>
      <c r="O54" s="24"/>
      <c r="P54" s="24"/>
      <c r="Q54" s="24"/>
      <c r="R54" s="24"/>
      <c r="S54" s="24"/>
      <c r="T54" s="24"/>
      <c r="U54" s="24"/>
      <c r="V54" s="24"/>
      <c r="W54" s="24"/>
      <c r="X54" s="24"/>
      <c r="Y54" s="24"/>
    </row>
    <row r="55">
      <c r="A55" s="33" t="s">
        <v>287</v>
      </c>
      <c r="B55" s="34" t="s">
        <v>288</v>
      </c>
      <c r="C55" s="33" t="s">
        <v>52</v>
      </c>
      <c r="D55" s="35" t="s">
        <v>289</v>
      </c>
      <c r="E55" s="36">
        <v>102.0</v>
      </c>
      <c r="F55" s="37">
        <v>0.0</v>
      </c>
      <c r="G55" s="33" t="s">
        <v>290</v>
      </c>
      <c r="H55" s="40" t="s">
        <v>291</v>
      </c>
      <c r="I55" s="24"/>
      <c r="J55" s="24"/>
      <c r="K55" s="24"/>
      <c r="L55" s="24"/>
      <c r="M55" s="24"/>
      <c r="N55" s="24"/>
      <c r="O55" s="24"/>
      <c r="P55" s="24"/>
      <c r="Q55" s="24"/>
      <c r="R55" s="24"/>
      <c r="S55" s="24"/>
      <c r="T55" s="24"/>
      <c r="U55" s="24"/>
      <c r="V55" s="24"/>
      <c r="W55" s="24"/>
      <c r="X55" s="24"/>
      <c r="Y55" s="24"/>
    </row>
    <row r="56">
      <c r="A56" s="33" t="s">
        <v>292</v>
      </c>
      <c r="B56" s="34" t="s">
        <v>293</v>
      </c>
      <c r="C56" s="33" t="s">
        <v>52</v>
      </c>
      <c r="D56" s="35" t="s">
        <v>294</v>
      </c>
      <c r="E56" s="36">
        <v>87.0</v>
      </c>
      <c r="F56" s="37">
        <v>0.0</v>
      </c>
      <c r="G56" s="33" t="s">
        <v>295</v>
      </c>
      <c r="H56" s="40" t="s">
        <v>215</v>
      </c>
      <c r="I56" s="24"/>
      <c r="J56" s="24"/>
      <c r="K56" s="24"/>
      <c r="L56" s="24"/>
      <c r="M56" s="24"/>
      <c r="N56" s="24"/>
      <c r="O56" s="24"/>
      <c r="P56" s="24"/>
      <c r="Q56" s="24"/>
      <c r="R56" s="24"/>
      <c r="S56" s="24"/>
      <c r="T56" s="24"/>
      <c r="U56" s="24"/>
      <c r="V56" s="24"/>
      <c r="W56" s="24"/>
      <c r="X56" s="24"/>
      <c r="Y56" s="24"/>
    </row>
    <row r="57">
      <c r="A57" s="33" t="s">
        <v>296</v>
      </c>
      <c r="B57" s="34" t="s">
        <v>297</v>
      </c>
      <c r="C57" s="33" t="s">
        <v>52</v>
      </c>
      <c r="D57" s="35" t="s">
        <v>298</v>
      </c>
      <c r="E57" s="36">
        <v>70.0</v>
      </c>
      <c r="F57" s="37">
        <v>0.0</v>
      </c>
      <c r="G57" s="33" t="s">
        <v>299</v>
      </c>
      <c r="H57" s="40" t="s">
        <v>286</v>
      </c>
      <c r="I57" s="24"/>
      <c r="J57" s="24"/>
      <c r="K57" s="24"/>
      <c r="L57" s="24"/>
      <c r="M57" s="24"/>
      <c r="N57" s="24"/>
      <c r="O57" s="24"/>
      <c r="P57" s="24"/>
      <c r="Q57" s="24"/>
      <c r="R57" s="24"/>
      <c r="S57" s="24"/>
      <c r="T57" s="24"/>
      <c r="U57" s="24"/>
      <c r="V57" s="24"/>
      <c r="W57" s="24"/>
      <c r="X57" s="24"/>
      <c r="Y57" s="24"/>
    </row>
    <row r="58">
      <c r="A58" s="33" t="s">
        <v>300</v>
      </c>
      <c r="B58" s="34" t="s">
        <v>301</v>
      </c>
      <c r="C58" s="33" t="s">
        <v>52</v>
      </c>
      <c r="D58" s="35" t="s">
        <v>302</v>
      </c>
      <c r="E58" s="36">
        <v>292.0</v>
      </c>
      <c r="F58" s="37">
        <v>0.0</v>
      </c>
      <c r="G58" s="33" t="s">
        <v>303</v>
      </c>
      <c r="H58" s="40" t="s">
        <v>210</v>
      </c>
      <c r="I58" s="24"/>
      <c r="J58" s="24"/>
      <c r="K58" s="24"/>
      <c r="L58" s="24"/>
      <c r="M58" s="24"/>
      <c r="N58" s="24"/>
      <c r="O58" s="24"/>
      <c r="P58" s="24"/>
      <c r="Q58" s="24"/>
      <c r="R58" s="24"/>
      <c r="S58" s="24"/>
      <c r="T58" s="24"/>
      <c r="U58" s="24"/>
      <c r="V58" s="24"/>
      <c r="W58" s="24"/>
      <c r="X58" s="24"/>
      <c r="Y58" s="24"/>
    </row>
    <row r="59">
      <c r="A59" s="33" t="s">
        <v>304</v>
      </c>
      <c r="B59" s="34" t="s">
        <v>305</v>
      </c>
      <c r="C59" s="33" t="s">
        <v>52</v>
      </c>
      <c r="D59" s="35" t="s">
        <v>306</v>
      </c>
      <c r="E59" s="36">
        <v>135.0</v>
      </c>
      <c r="F59" s="37">
        <v>0.0</v>
      </c>
      <c r="G59" s="33" t="s">
        <v>307</v>
      </c>
      <c r="H59" s="40" t="s">
        <v>308</v>
      </c>
      <c r="I59" s="24"/>
      <c r="J59" s="24"/>
      <c r="K59" s="24"/>
      <c r="L59" s="24"/>
      <c r="M59" s="24"/>
      <c r="N59" s="24"/>
      <c r="O59" s="24"/>
      <c r="P59" s="24"/>
      <c r="Q59" s="24"/>
      <c r="R59" s="24"/>
      <c r="S59" s="24"/>
      <c r="T59" s="24"/>
      <c r="U59" s="24"/>
      <c r="V59" s="24"/>
      <c r="W59" s="24"/>
      <c r="X59" s="24"/>
      <c r="Y59" s="24"/>
    </row>
    <row r="60">
      <c r="A60" s="33" t="s">
        <v>309</v>
      </c>
      <c r="B60" s="34" t="s">
        <v>310</v>
      </c>
      <c r="C60" s="33" t="s">
        <v>52</v>
      </c>
      <c r="D60" s="35" t="s">
        <v>311</v>
      </c>
      <c r="E60" s="36">
        <v>589.0</v>
      </c>
      <c r="F60" s="37">
        <v>3.0</v>
      </c>
      <c r="G60" s="33" t="s">
        <v>312</v>
      </c>
      <c r="H60" s="40" t="s">
        <v>313</v>
      </c>
      <c r="I60" s="24"/>
      <c r="J60" s="24"/>
      <c r="K60" s="24"/>
      <c r="L60" s="24"/>
      <c r="M60" s="24"/>
      <c r="N60" s="24"/>
      <c r="O60" s="24"/>
      <c r="P60" s="24"/>
      <c r="Q60" s="24"/>
      <c r="R60" s="24"/>
      <c r="S60" s="24"/>
      <c r="T60" s="24"/>
      <c r="U60" s="24"/>
      <c r="V60" s="24"/>
      <c r="W60" s="24"/>
      <c r="X60" s="24"/>
      <c r="Y60" s="24"/>
    </row>
    <row r="61">
      <c r="A61" s="33" t="s">
        <v>314</v>
      </c>
      <c r="B61" s="34" t="s">
        <v>315</v>
      </c>
      <c r="C61" s="33" t="s">
        <v>52</v>
      </c>
      <c r="D61" s="35" t="s">
        <v>316</v>
      </c>
      <c r="E61" s="36">
        <v>99.0</v>
      </c>
      <c r="F61" s="37">
        <v>1.0</v>
      </c>
      <c r="G61" s="33" t="s">
        <v>317</v>
      </c>
      <c r="H61" s="40" t="s">
        <v>318</v>
      </c>
      <c r="I61" s="24"/>
      <c r="J61" s="24"/>
      <c r="K61" s="24"/>
      <c r="L61" s="24"/>
      <c r="M61" s="24"/>
      <c r="N61" s="24"/>
      <c r="O61" s="24"/>
      <c r="P61" s="24"/>
      <c r="Q61" s="24"/>
      <c r="R61" s="24"/>
      <c r="S61" s="24"/>
      <c r="T61" s="24"/>
      <c r="U61" s="24"/>
      <c r="V61" s="24"/>
      <c r="W61" s="24"/>
      <c r="X61" s="24"/>
      <c r="Y61" s="24"/>
    </row>
    <row r="62">
      <c r="A62" s="33" t="s">
        <v>319</v>
      </c>
      <c r="B62" s="34" t="s">
        <v>320</v>
      </c>
      <c r="C62" s="33" t="s">
        <v>52</v>
      </c>
      <c r="D62" s="35" t="s">
        <v>321</v>
      </c>
      <c r="E62" s="36">
        <v>111.0</v>
      </c>
      <c r="F62" s="37">
        <v>0.0</v>
      </c>
      <c r="G62" s="33" t="s">
        <v>322</v>
      </c>
      <c r="H62" s="40" t="s">
        <v>323</v>
      </c>
      <c r="I62" s="24"/>
      <c r="J62" s="24"/>
      <c r="K62" s="24"/>
      <c r="L62" s="24"/>
      <c r="M62" s="24"/>
      <c r="N62" s="24"/>
      <c r="O62" s="24"/>
      <c r="P62" s="24"/>
      <c r="Q62" s="24"/>
      <c r="R62" s="24"/>
      <c r="S62" s="24"/>
      <c r="T62" s="24"/>
      <c r="U62" s="24"/>
      <c r="V62" s="24"/>
      <c r="W62" s="24"/>
      <c r="X62" s="24"/>
      <c r="Y62" s="24"/>
    </row>
    <row r="63">
      <c r="A63" s="33" t="s">
        <v>324</v>
      </c>
      <c r="B63" s="34" t="s">
        <v>325</v>
      </c>
      <c r="C63" s="33" t="s">
        <v>52</v>
      </c>
      <c r="D63" s="35" t="s">
        <v>326</v>
      </c>
      <c r="E63" s="36">
        <v>73.0</v>
      </c>
      <c r="F63" s="37">
        <v>0.0</v>
      </c>
      <c r="G63" s="33" t="s">
        <v>327</v>
      </c>
      <c r="H63" s="40" t="s">
        <v>328</v>
      </c>
      <c r="I63" s="24"/>
      <c r="J63" s="24"/>
      <c r="K63" s="24"/>
      <c r="L63" s="24"/>
      <c r="M63" s="24"/>
      <c r="N63" s="24"/>
      <c r="O63" s="24"/>
      <c r="P63" s="24"/>
      <c r="Q63" s="24"/>
      <c r="R63" s="24"/>
      <c r="S63" s="24"/>
      <c r="T63" s="24"/>
      <c r="U63" s="24"/>
      <c r="V63" s="24"/>
      <c r="W63" s="24"/>
      <c r="X63" s="24"/>
      <c r="Y63" s="24"/>
    </row>
    <row r="64">
      <c r="A64" s="33" t="s">
        <v>329</v>
      </c>
      <c r="B64" s="34" t="s">
        <v>330</v>
      </c>
      <c r="C64" s="33" t="s">
        <v>52</v>
      </c>
      <c r="D64" s="35" t="s">
        <v>331</v>
      </c>
      <c r="E64" s="36">
        <v>149.0</v>
      </c>
      <c r="F64" s="37">
        <v>0.0</v>
      </c>
      <c r="G64" s="33" t="s">
        <v>332</v>
      </c>
      <c r="H64" s="40" t="s">
        <v>333</v>
      </c>
      <c r="I64" s="24"/>
      <c r="J64" s="24"/>
      <c r="K64" s="24"/>
      <c r="L64" s="24"/>
      <c r="M64" s="24"/>
      <c r="N64" s="24"/>
      <c r="O64" s="24"/>
      <c r="P64" s="24"/>
      <c r="Q64" s="24"/>
      <c r="R64" s="24"/>
      <c r="S64" s="24"/>
      <c r="T64" s="24"/>
      <c r="U64" s="24"/>
      <c r="V64" s="24"/>
      <c r="W64" s="24"/>
      <c r="X64" s="24"/>
      <c r="Y64" s="24"/>
    </row>
    <row r="65">
      <c r="A65" s="33" t="s">
        <v>334</v>
      </c>
      <c r="B65" s="34" t="s">
        <v>335</v>
      </c>
      <c r="C65" s="33" t="s">
        <v>47</v>
      </c>
      <c r="D65" s="35" t="s">
        <v>336</v>
      </c>
      <c r="E65" s="36">
        <v>143.0</v>
      </c>
      <c r="F65" s="37">
        <v>2.0</v>
      </c>
      <c r="G65" s="33" t="s">
        <v>337</v>
      </c>
      <c r="H65" s="40" t="s">
        <v>338</v>
      </c>
      <c r="I65" s="24"/>
      <c r="J65" s="24"/>
      <c r="K65" s="24"/>
      <c r="L65" s="24"/>
      <c r="M65" s="24"/>
      <c r="N65" s="24"/>
      <c r="O65" s="24"/>
      <c r="P65" s="24"/>
      <c r="Q65" s="24"/>
      <c r="R65" s="24"/>
      <c r="S65" s="24"/>
      <c r="T65" s="24"/>
      <c r="U65" s="24"/>
      <c r="V65" s="24"/>
      <c r="W65" s="24"/>
      <c r="X65" s="24"/>
      <c r="Y65" s="24"/>
    </row>
    <row r="66">
      <c r="A66" s="33" t="s">
        <v>339</v>
      </c>
      <c r="B66" s="34" t="s">
        <v>340</v>
      </c>
      <c r="C66" s="33" t="s">
        <v>52</v>
      </c>
      <c r="D66" s="35" t="s">
        <v>341</v>
      </c>
      <c r="E66" s="36">
        <v>117.0</v>
      </c>
      <c r="F66" s="37">
        <v>1.0</v>
      </c>
      <c r="G66" s="33" t="s">
        <v>342</v>
      </c>
      <c r="H66" s="40" t="s">
        <v>343</v>
      </c>
      <c r="I66" s="24"/>
      <c r="J66" s="24"/>
      <c r="K66" s="24"/>
      <c r="L66" s="24"/>
      <c r="M66" s="24"/>
      <c r="N66" s="24"/>
      <c r="O66" s="24"/>
      <c r="P66" s="24"/>
      <c r="Q66" s="24"/>
      <c r="R66" s="24"/>
      <c r="S66" s="24"/>
      <c r="T66" s="24"/>
      <c r="U66" s="24"/>
      <c r="V66" s="24"/>
      <c r="W66" s="24"/>
      <c r="X66" s="24"/>
      <c r="Y66" s="24"/>
    </row>
    <row r="67">
      <c r="A67" s="33" t="s">
        <v>344</v>
      </c>
      <c r="B67" s="34" t="s">
        <v>345</v>
      </c>
      <c r="C67" s="33" t="s">
        <v>52</v>
      </c>
      <c r="D67" s="35" t="s">
        <v>346</v>
      </c>
      <c r="E67" s="36">
        <v>84.0</v>
      </c>
      <c r="F67" s="37">
        <v>0.0</v>
      </c>
      <c r="G67" s="33" t="s">
        <v>347</v>
      </c>
      <c r="H67" s="40" t="s">
        <v>348</v>
      </c>
      <c r="I67" s="24"/>
      <c r="J67" s="24"/>
      <c r="K67" s="24"/>
      <c r="L67" s="24"/>
      <c r="M67" s="24"/>
      <c r="N67" s="24"/>
      <c r="O67" s="24"/>
      <c r="P67" s="24"/>
      <c r="Q67" s="24"/>
      <c r="R67" s="24"/>
      <c r="S67" s="24"/>
      <c r="T67" s="24"/>
      <c r="U67" s="24"/>
      <c r="V67" s="24"/>
      <c r="W67" s="24"/>
      <c r="X67" s="24"/>
      <c r="Y67" s="24"/>
    </row>
    <row r="68">
      <c r="A68" s="33" t="s">
        <v>349</v>
      </c>
      <c r="B68" s="34" t="s">
        <v>350</v>
      </c>
      <c r="C68" s="33" t="s">
        <v>52</v>
      </c>
      <c r="D68" s="35" t="s">
        <v>351</v>
      </c>
      <c r="E68" s="36">
        <v>110.0</v>
      </c>
      <c r="F68" s="37">
        <v>0.0</v>
      </c>
      <c r="G68" s="33" t="s">
        <v>352</v>
      </c>
      <c r="H68" s="40" t="s">
        <v>210</v>
      </c>
      <c r="I68" s="24"/>
      <c r="J68" s="24"/>
      <c r="K68" s="24"/>
      <c r="L68" s="24"/>
      <c r="M68" s="24"/>
      <c r="N68" s="24"/>
      <c r="O68" s="24"/>
      <c r="P68" s="24"/>
      <c r="Q68" s="24"/>
      <c r="R68" s="24"/>
      <c r="S68" s="24"/>
      <c r="T68" s="24"/>
      <c r="U68" s="24"/>
      <c r="V68" s="24"/>
      <c r="W68" s="24"/>
      <c r="X68" s="24"/>
      <c r="Y68" s="24"/>
    </row>
    <row r="69">
      <c r="A69" s="33" t="s">
        <v>353</v>
      </c>
      <c r="B69" s="34" t="s">
        <v>354</v>
      </c>
      <c r="C69" s="33" t="s">
        <v>52</v>
      </c>
      <c r="D69" s="35" t="s">
        <v>355</v>
      </c>
      <c r="E69" s="36">
        <v>226.0</v>
      </c>
      <c r="F69" s="37">
        <v>1.0</v>
      </c>
      <c r="G69" s="33" t="s">
        <v>356</v>
      </c>
      <c r="H69" s="40" t="s">
        <v>357</v>
      </c>
      <c r="I69" s="24"/>
      <c r="J69" s="24"/>
      <c r="K69" s="24"/>
      <c r="L69" s="24"/>
      <c r="M69" s="24"/>
      <c r="N69" s="24"/>
      <c r="O69" s="24"/>
      <c r="P69" s="24"/>
      <c r="Q69" s="24"/>
      <c r="R69" s="24"/>
      <c r="S69" s="24"/>
      <c r="T69" s="24"/>
      <c r="U69" s="24"/>
      <c r="V69" s="24"/>
      <c r="W69" s="24"/>
      <c r="X69" s="24"/>
      <c r="Y69" s="24"/>
    </row>
    <row r="70">
      <c r="A70" s="33" t="s">
        <v>358</v>
      </c>
      <c r="B70" s="34" t="s">
        <v>359</v>
      </c>
      <c r="C70" s="33" t="s">
        <v>52</v>
      </c>
      <c r="D70" s="35" t="s">
        <v>360</v>
      </c>
      <c r="E70" s="36">
        <v>267.0</v>
      </c>
      <c r="F70" s="37">
        <v>0.0</v>
      </c>
      <c r="G70" s="33" t="s">
        <v>361</v>
      </c>
      <c r="H70" s="40" t="s">
        <v>362</v>
      </c>
      <c r="I70" s="24"/>
      <c r="J70" s="24"/>
      <c r="K70" s="24"/>
      <c r="L70" s="24"/>
      <c r="M70" s="24"/>
      <c r="N70" s="24"/>
      <c r="O70" s="24"/>
      <c r="P70" s="24"/>
      <c r="Q70" s="24"/>
      <c r="R70" s="24"/>
      <c r="S70" s="24"/>
      <c r="T70" s="24"/>
      <c r="U70" s="24"/>
      <c r="V70" s="24"/>
      <c r="W70" s="24"/>
      <c r="X70" s="24"/>
      <c r="Y70" s="24"/>
    </row>
    <row r="71">
      <c r="A71" s="33" t="s">
        <v>363</v>
      </c>
      <c r="B71" s="34" t="s">
        <v>364</v>
      </c>
      <c r="C71" s="33" t="s">
        <v>52</v>
      </c>
      <c r="D71" s="35" t="s">
        <v>365</v>
      </c>
      <c r="E71" s="36">
        <v>227.0</v>
      </c>
      <c r="F71" s="37">
        <v>0.0</v>
      </c>
      <c r="G71" s="33" t="s">
        <v>366</v>
      </c>
      <c r="H71" s="40" t="s">
        <v>367</v>
      </c>
      <c r="I71" s="24"/>
      <c r="J71" s="24"/>
      <c r="K71" s="24"/>
      <c r="L71" s="24"/>
      <c r="M71" s="24"/>
      <c r="N71" s="24"/>
      <c r="O71" s="24"/>
      <c r="P71" s="24"/>
      <c r="Q71" s="24"/>
      <c r="R71" s="24"/>
      <c r="S71" s="24"/>
      <c r="T71" s="24"/>
      <c r="U71" s="24"/>
      <c r="V71" s="24"/>
      <c r="W71" s="24"/>
      <c r="X71" s="24"/>
      <c r="Y71" s="24"/>
    </row>
    <row r="72">
      <c r="A72" s="33" t="s">
        <v>368</v>
      </c>
      <c r="B72" s="34" t="s">
        <v>369</v>
      </c>
      <c r="C72" s="33" t="s">
        <v>52</v>
      </c>
      <c r="D72" s="35" t="s">
        <v>370</v>
      </c>
      <c r="E72" s="36">
        <v>302.0</v>
      </c>
      <c r="F72" s="37">
        <v>1.0</v>
      </c>
      <c r="G72" s="33" t="s">
        <v>371</v>
      </c>
      <c r="H72" s="40"/>
      <c r="I72" s="24"/>
      <c r="J72" s="24"/>
      <c r="K72" s="24"/>
      <c r="L72" s="24"/>
      <c r="M72" s="24"/>
      <c r="N72" s="24"/>
      <c r="O72" s="24"/>
      <c r="P72" s="24"/>
      <c r="Q72" s="24"/>
      <c r="R72" s="24"/>
      <c r="S72" s="24"/>
      <c r="T72" s="24"/>
      <c r="U72" s="24"/>
      <c r="V72" s="24"/>
      <c r="W72" s="24"/>
      <c r="X72" s="24"/>
      <c r="Y72" s="24"/>
    </row>
    <row r="73">
      <c r="A73" s="33" t="s">
        <v>372</v>
      </c>
      <c r="B73" s="34" t="s">
        <v>373</v>
      </c>
      <c r="C73" s="33" t="s">
        <v>52</v>
      </c>
      <c r="D73" s="35" t="s">
        <v>374</v>
      </c>
      <c r="E73" s="36">
        <v>173.0</v>
      </c>
      <c r="F73" s="37">
        <v>0.0</v>
      </c>
      <c r="G73" s="33" t="s">
        <v>375</v>
      </c>
      <c r="H73" s="40" t="s">
        <v>376</v>
      </c>
      <c r="I73" s="24"/>
      <c r="J73" s="24"/>
      <c r="K73" s="24"/>
      <c r="L73" s="24"/>
      <c r="M73" s="24"/>
      <c r="N73" s="24"/>
      <c r="O73" s="24"/>
      <c r="P73" s="24"/>
      <c r="Q73" s="24"/>
      <c r="R73" s="24"/>
      <c r="S73" s="24"/>
      <c r="T73" s="24"/>
      <c r="U73" s="24"/>
      <c r="V73" s="24"/>
      <c r="W73" s="24"/>
      <c r="X73" s="24"/>
      <c r="Y73" s="24"/>
    </row>
    <row r="74">
      <c r="A74" s="33" t="s">
        <v>377</v>
      </c>
      <c r="B74" s="34" t="s">
        <v>378</v>
      </c>
      <c r="C74" s="33" t="s">
        <v>52</v>
      </c>
      <c r="D74" s="35" t="s">
        <v>379</v>
      </c>
      <c r="E74" s="36">
        <v>160.0</v>
      </c>
      <c r="F74" s="37">
        <v>1.0</v>
      </c>
      <c r="G74" s="33" t="s">
        <v>380</v>
      </c>
      <c r="H74" s="40" t="s">
        <v>381</v>
      </c>
      <c r="I74" s="24"/>
      <c r="J74" s="24"/>
      <c r="K74" s="24"/>
      <c r="L74" s="24"/>
      <c r="M74" s="24"/>
      <c r="N74" s="24"/>
      <c r="O74" s="24"/>
      <c r="P74" s="24"/>
      <c r="Q74" s="24"/>
      <c r="R74" s="24"/>
      <c r="S74" s="24"/>
      <c r="T74" s="24"/>
      <c r="U74" s="24"/>
      <c r="V74" s="24"/>
      <c r="W74" s="24"/>
      <c r="X74" s="24"/>
      <c r="Y74" s="24"/>
    </row>
    <row r="75">
      <c r="A75" s="33" t="s">
        <v>382</v>
      </c>
      <c r="B75" s="34" t="s">
        <v>383</v>
      </c>
      <c r="C75" s="33" t="s">
        <v>52</v>
      </c>
      <c r="D75" s="35" t="s">
        <v>384</v>
      </c>
      <c r="E75" s="36">
        <v>138.0</v>
      </c>
      <c r="F75" s="37">
        <v>1.0</v>
      </c>
      <c r="G75" s="33" t="s">
        <v>385</v>
      </c>
      <c r="H75" s="40" t="s">
        <v>386</v>
      </c>
      <c r="I75" s="24"/>
      <c r="J75" s="24"/>
      <c r="K75" s="24"/>
      <c r="L75" s="24"/>
      <c r="M75" s="24"/>
      <c r="N75" s="24"/>
      <c r="O75" s="24"/>
      <c r="P75" s="24"/>
      <c r="Q75" s="24"/>
      <c r="R75" s="24"/>
      <c r="S75" s="24"/>
      <c r="T75" s="24"/>
      <c r="U75" s="24"/>
      <c r="V75" s="24"/>
      <c r="W75" s="24"/>
      <c r="X75" s="24"/>
      <c r="Y75" s="24"/>
    </row>
    <row r="76">
      <c r="A76" s="33" t="s">
        <v>387</v>
      </c>
      <c r="B76" s="34" t="s">
        <v>388</v>
      </c>
      <c r="C76" s="33" t="s">
        <v>52</v>
      </c>
      <c r="D76" s="35" t="s">
        <v>389</v>
      </c>
      <c r="E76" s="36">
        <v>113.0</v>
      </c>
      <c r="F76" s="37">
        <v>0.0</v>
      </c>
      <c r="G76" s="33" t="s">
        <v>390</v>
      </c>
      <c r="H76" s="40" t="s">
        <v>391</v>
      </c>
      <c r="I76" s="24"/>
      <c r="J76" s="24"/>
      <c r="K76" s="24"/>
      <c r="L76" s="24"/>
      <c r="M76" s="24"/>
      <c r="N76" s="24"/>
      <c r="O76" s="24"/>
      <c r="P76" s="24"/>
      <c r="Q76" s="24"/>
      <c r="R76" s="24"/>
      <c r="S76" s="24"/>
      <c r="T76" s="24"/>
      <c r="U76" s="24"/>
      <c r="V76" s="24"/>
      <c r="W76" s="24"/>
      <c r="X76" s="24"/>
      <c r="Y76" s="24"/>
    </row>
    <row r="77">
      <c r="A77" s="33" t="s">
        <v>392</v>
      </c>
      <c r="B77" s="34" t="s">
        <v>393</v>
      </c>
      <c r="C77" s="33" t="s">
        <v>52</v>
      </c>
      <c r="D77" s="35" t="s">
        <v>394</v>
      </c>
      <c r="E77" s="36">
        <v>388.0</v>
      </c>
      <c r="F77" s="37">
        <v>7.0</v>
      </c>
      <c r="G77" s="33" t="s">
        <v>395</v>
      </c>
      <c r="H77" s="40" t="s">
        <v>396</v>
      </c>
      <c r="I77" s="24"/>
      <c r="J77" s="24"/>
      <c r="K77" s="24"/>
      <c r="L77" s="24"/>
      <c r="M77" s="24"/>
      <c r="N77" s="24"/>
      <c r="O77" s="24"/>
      <c r="P77" s="24"/>
      <c r="Q77" s="24"/>
      <c r="R77" s="24"/>
      <c r="S77" s="24"/>
      <c r="T77" s="24"/>
      <c r="U77" s="24"/>
      <c r="V77" s="24"/>
      <c r="W77" s="24"/>
      <c r="X77" s="24"/>
      <c r="Y77" s="24"/>
    </row>
    <row r="78">
      <c r="A78" s="33" t="s">
        <v>397</v>
      </c>
      <c r="B78" s="34" t="s">
        <v>398</v>
      </c>
      <c r="C78" s="33" t="s">
        <v>52</v>
      </c>
      <c r="D78" s="35" t="s">
        <v>399</v>
      </c>
      <c r="E78" s="36">
        <v>95.0</v>
      </c>
      <c r="F78" s="37">
        <v>0.0</v>
      </c>
      <c r="G78" s="33" t="s">
        <v>400</v>
      </c>
      <c r="H78" s="40" t="s">
        <v>401</v>
      </c>
      <c r="I78" s="24"/>
      <c r="J78" s="24"/>
      <c r="K78" s="24"/>
      <c r="L78" s="24"/>
      <c r="M78" s="24"/>
      <c r="N78" s="24"/>
      <c r="O78" s="24"/>
      <c r="P78" s="24"/>
      <c r="Q78" s="24"/>
      <c r="R78" s="24"/>
      <c r="S78" s="24"/>
      <c r="T78" s="24"/>
      <c r="U78" s="24"/>
      <c r="V78" s="24"/>
      <c r="W78" s="24"/>
      <c r="X78" s="24"/>
      <c r="Y78" s="24"/>
    </row>
    <row r="79">
      <c r="A79" s="33" t="s">
        <v>402</v>
      </c>
      <c r="B79" s="34" t="s">
        <v>403</v>
      </c>
      <c r="C79" s="33" t="s">
        <v>52</v>
      </c>
      <c r="D79" s="35" t="s">
        <v>404</v>
      </c>
      <c r="E79" s="36">
        <v>163.0</v>
      </c>
      <c r="F79" s="37">
        <v>3.0</v>
      </c>
      <c r="G79" s="33" t="s">
        <v>405</v>
      </c>
      <c r="H79" s="40"/>
      <c r="I79" s="24"/>
      <c r="J79" s="24"/>
      <c r="K79" s="24"/>
      <c r="L79" s="24"/>
      <c r="M79" s="24"/>
      <c r="N79" s="24"/>
      <c r="O79" s="24"/>
      <c r="P79" s="24"/>
      <c r="Q79" s="24"/>
      <c r="R79" s="24"/>
      <c r="S79" s="24"/>
      <c r="T79" s="24"/>
      <c r="U79" s="24"/>
      <c r="V79" s="24"/>
      <c r="W79" s="24"/>
      <c r="X79" s="24"/>
      <c r="Y79" s="24"/>
    </row>
    <row r="80">
      <c r="A80" s="33" t="s">
        <v>406</v>
      </c>
      <c r="B80" s="34" t="s">
        <v>407</v>
      </c>
      <c r="C80" s="33" t="s">
        <v>52</v>
      </c>
      <c r="D80" s="35" t="s">
        <v>408</v>
      </c>
      <c r="E80" s="36">
        <v>261.0</v>
      </c>
      <c r="F80" s="37">
        <v>2.0</v>
      </c>
      <c r="G80" s="33" t="s">
        <v>409</v>
      </c>
      <c r="H80" s="40" t="s">
        <v>410</v>
      </c>
      <c r="I80" s="24"/>
      <c r="J80" s="24"/>
      <c r="K80" s="24"/>
      <c r="L80" s="24"/>
      <c r="M80" s="24"/>
      <c r="N80" s="24"/>
      <c r="O80" s="24"/>
      <c r="P80" s="24"/>
      <c r="Q80" s="24"/>
      <c r="R80" s="24"/>
      <c r="S80" s="24"/>
      <c r="T80" s="24"/>
      <c r="U80" s="24"/>
      <c r="V80" s="24"/>
      <c r="W80" s="24"/>
      <c r="X80" s="24"/>
      <c r="Y80" s="24"/>
    </row>
    <row r="81">
      <c r="A81" s="33" t="s">
        <v>411</v>
      </c>
      <c r="B81" s="34" t="s">
        <v>412</v>
      </c>
      <c r="C81" s="33" t="s">
        <v>52</v>
      </c>
      <c r="D81" s="35" t="s">
        <v>413</v>
      </c>
      <c r="E81" s="36">
        <v>200.0</v>
      </c>
      <c r="F81" s="37">
        <v>1.0</v>
      </c>
      <c r="G81" s="33" t="s">
        <v>414</v>
      </c>
      <c r="H81" s="40" t="s">
        <v>415</v>
      </c>
      <c r="I81" s="24"/>
      <c r="J81" s="24"/>
      <c r="K81" s="24"/>
      <c r="L81" s="24"/>
      <c r="M81" s="24"/>
      <c r="N81" s="24"/>
      <c r="O81" s="24"/>
      <c r="P81" s="24"/>
      <c r="Q81" s="24"/>
      <c r="R81" s="24"/>
      <c r="S81" s="24"/>
      <c r="T81" s="24"/>
      <c r="U81" s="24"/>
      <c r="V81" s="24"/>
      <c r="W81" s="24"/>
      <c r="X81" s="24"/>
      <c r="Y81" s="24"/>
    </row>
    <row r="82">
      <c r="A82" s="33" t="s">
        <v>416</v>
      </c>
      <c r="B82" s="34" t="s">
        <v>417</v>
      </c>
      <c r="C82" s="33" t="s">
        <v>52</v>
      </c>
      <c r="D82" s="35" t="s">
        <v>418</v>
      </c>
      <c r="E82" s="36">
        <v>134.0</v>
      </c>
      <c r="F82" s="37">
        <v>0.0</v>
      </c>
      <c r="G82" s="33" t="s">
        <v>419</v>
      </c>
      <c r="H82" s="40" t="s">
        <v>210</v>
      </c>
      <c r="I82" s="24"/>
      <c r="J82" s="24"/>
      <c r="K82" s="24"/>
      <c r="L82" s="24"/>
      <c r="M82" s="24"/>
      <c r="N82" s="24"/>
      <c r="O82" s="24"/>
      <c r="P82" s="24"/>
      <c r="Q82" s="24"/>
      <c r="R82" s="24"/>
      <c r="S82" s="24"/>
      <c r="T82" s="24"/>
      <c r="U82" s="24"/>
      <c r="V82" s="24"/>
      <c r="W82" s="24"/>
      <c r="X82" s="24"/>
      <c r="Y82" s="24"/>
    </row>
    <row r="83">
      <c r="A83" s="33" t="s">
        <v>420</v>
      </c>
      <c r="B83" s="34" t="s">
        <v>421</v>
      </c>
      <c r="C83" s="33" t="s">
        <v>47</v>
      </c>
      <c r="D83" s="35" t="s">
        <v>422</v>
      </c>
      <c r="E83" s="36">
        <v>186.0</v>
      </c>
      <c r="F83" s="37">
        <v>1.0</v>
      </c>
      <c r="G83" s="33" t="s">
        <v>423</v>
      </c>
      <c r="H83" s="40" t="s">
        <v>424</v>
      </c>
      <c r="I83" s="24"/>
      <c r="J83" s="24"/>
      <c r="K83" s="24"/>
      <c r="L83" s="24"/>
      <c r="M83" s="24"/>
      <c r="N83" s="24"/>
      <c r="O83" s="24"/>
      <c r="P83" s="24"/>
      <c r="Q83" s="24"/>
      <c r="R83" s="24"/>
      <c r="S83" s="24"/>
      <c r="T83" s="24"/>
      <c r="U83" s="24"/>
      <c r="V83" s="24"/>
      <c r="W83" s="24"/>
      <c r="X83" s="24"/>
      <c r="Y83" s="24"/>
    </row>
    <row r="84">
      <c r="A84" s="33" t="s">
        <v>425</v>
      </c>
      <c r="B84" s="34" t="s">
        <v>426</v>
      </c>
      <c r="C84" s="33" t="s">
        <v>47</v>
      </c>
      <c r="D84" s="35" t="s">
        <v>427</v>
      </c>
      <c r="E84" s="36">
        <v>179.0</v>
      </c>
      <c r="F84" s="37">
        <v>2.0</v>
      </c>
      <c r="G84" s="33" t="s">
        <v>428</v>
      </c>
      <c r="H84" s="40" t="s">
        <v>429</v>
      </c>
      <c r="I84" s="24"/>
      <c r="J84" s="24"/>
      <c r="K84" s="24"/>
      <c r="L84" s="24"/>
      <c r="M84" s="24"/>
      <c r="N84" s="24"/>
      <c r="O84" s="24"/>
      <c r="P84" s="24"/>
      <c r="Q84" s="24"/>
      <c r="R84" s="24"/>
      <c r="S84" s="24"/>
      <c r="T84" s="24"/>
      <c r="U84" s="24"/>
      <c r="V84" s="24"/>
      <c r="W84" s="24"/>
      <c r="X84" s="24"/>
      <c r="Y84" s="24"/>
    </row>
    <row r="85">
      <c r="A85" s="33" t="s">
        <v>430</v>
      </c>
      <c r="B85" s="34" t="s">
        <v>431</v>
      </c>
      <c r="C85" s="33" t="s">
        <v>52</v>
      </c>
      <c r="D85" s="35" t="s">
        <v>432</v>
      </c>
      <c r="E85" s="36">
        <v>316.0</v>
      </c>
      <c r="F85" s="37">
        <v>5.0</v>
      </c>
      <c r="G85" s="33" t="s">
        <v>433</v>
      </c>
      <c r="H85" s="40" t="s">
        <v>434</v>
      </c>
      <c r="I85" s="24"/>
      <c r="J85" s="24"/>
      <c r="K85" s="24"/>
      <c r="L85" s="24"/>
      <c r="M85" s="24"/>
      <c r="N85" s="24"/>
      <c r="O85" s="24"/>
      <c r="P85" s="24"/>
      <c r="Q85" s="24"/>
      <c r="R85" s="24"/>
      <c r="S85" s="24"/>
      <c r="T85" s="24"/>
      <c r="U85" s="24"/>
      <c r="V85" s="24"/>
      <c r="W85" s="24"/>
      <c r="X85" s="24"/>
      <c r="Y85" s="24"/>
    </row>
    <row r="86">
      <c r="A86" s="33" t="s">
        <v>435</v>
      </c>
      <c r="B86" s="34" t="s">
        <v>436</v>
      </c>
      <c r="C86" s="33" t="s">
        <v>47</v>
      </c>
      <c r="D86" s="35" t="s">
        <v>437</v>
      </c>
      <c r="E86" s="36">
        <v>259.0</v>
      </c>
      <c r="F86" s="37">
        <v>2.0</v>
      </c>
      <c r="G86" s="33" t="s">
        <v>438</v>
      </c>
      <c r="H86" s="40" t="s">
        <v>439</v>
      </c>
      <c r="I86" s="24"/>
      <c r="J86" s="24"/>
      <c r="K86" s="24"/>
      <c r="L86" s="24"/>
      <c r="M86" s="24"/>
      <c r="N86" s="24"/>
      <c r="O86" s="24"/>
      <c r="P86" s="24"/>
      <c r="Q86" s="24"/>
      <c r="R86" s="24"/>
      <c r="S86" s="24"/>
      <c r="T86" s="24"/>
      <c r="U86" s="24"/>
      <c r="V86" s="24"/>
      <c r="W86" s="24"/>
      <c r="X86" s="24"/>
      <c r="Y86" s="24"/>
    </row>
    <row r="87">
      <c r="A87" s="33" t="s">
        <v>440</v>
      </c>
      <c r="B87" s="34" t="s">
        <v>441</v>
      </c>
      <c r="C87" s="33" t="s">
        <v>47</v>
      </c>
      <c r="D87" s="35" t="s">
        <v>442</v>
      </c>
      <c r="E87" s="36">
        <v>227.0</v>
      </c>
      <c r="F87" s="37">
        <v>1.0</v>
      </c>
      <c r="G87" s="33" t="s">
        <v>443</v>
      </c>
      <c r="H87" s="40" t="s">
        <v>444</v>
      </c>
      <c r="I87" s="24"/>
      <c r="J87" s="24"/>
      <c r="K87" s="24"/>
      <c r="L87" s="24"/>
      <c r="M87" s="24"/>
      <c r="N87" s="24"/>
      <c r="O87" s="24"/>
      <c r="P87" s="24"/>
      <c r="Q87" s="24"/>
      <c r="R87" s="24"/>
      <c r="S87" s="24"/>
      <c r="T87" s="24"/>
      <c r="U87" s="24"/>
      <c r="V87" s="24"/>
      <c r="W87" s="24"/>
      <c r="X87" s="24"/>
      <c r="Y87" s="24"/>
    </row>
    <row r="88">
      <c r="A88" s="33" t="s">
        <v>445</v>
      </c>
      <c r="B88" s="34" t="s">
        <v>446</v>
      </c>
      <c r="C88" s="33" t="s">
        <v>52</v>
      </c>
      <c r="D88" s="35" t="s">
        <v>447</v>
      </c>
      <c r="E88" s="36">
        <v>300.0</v>
      </c>
      <c r="F88" s="37">
        <v>3.0</v>
      </c>
      <c r="G88" s="33" t="s">
        <v>448</v>
      </c>
      <c r="H88" s="40"/>
      <c r="I88" s="24"/>
      <c r="J88" s="24"/>
      <c r="K88" s="24"/>
      <c r="L88" s="24"/>
      <c r="M88" s="24"/>
      <c r="N88" s="24"/>
      <c r="O88" s="24"/>
      <c r="P88" s="24"/>
      <c r="Q88" s="24"/>
      <c r="R88" s="24"/>
      <c r="S88" s="24"/>
      <c r="T88" s="24"/>
      <c r="U88" s="24"/>
      <c r="V88" s="24"/>
      <c r="W88" s="24"/>
      <c r="X88" s="24"/>
      <c r="Y88" s="24"/>
    </row>
    <row r="89">
      <c r="A89" s="33" t="s">
        <v>449</v>
      </c>
      <c r="B89" s="34" t="s">
        <v>450</v>
      </c>
      <c r="C89" s="33" t="s">
        <v>52</v>
      </c>
      <c r="D89" s="35" t="s">
        <v>451</v>
      </c>
      <c r="E89" s="36">
        <v>258.0</v>
      </c>
      <c r="F89" s="37">
        <v>7.0</v>
      </c>
      <c r="G89" s="33" t="s">
        <v>452</v>
      </c>
      <c r="H89" s="40" t="s">
        <v>453</v>
      </c>
      <c r="I89" s="24"/>
      <c r="J89" s="24"/>
      <c r="K89" s="24"/>
      <c r="L89" s="24"/>
      <c r="M89" s="24"/>
      <c r="N89" s="24"/>
      <c r="O89" s="24"/>
      <c r="P89" s="24"/>
      <c r="Q89" s="24"/>
      <c r="R89" s="24"/>
      <c r="S89" s="24"/>
      <c r="T89" s="24"/>
      <c r="U89" s="24"/>
      <c r="V89" s="24"/>
      <c r="W89" s="24"/>
      <c r="X89" s="24"/>
      <c r="Y89" s="24"/>
    </row>
    <row r="90">
      <c r="A90" s="33" t="s">
        <v>454</v>
      </c>
      <c r="B90" s="34" t="s">
        <v>455</v>
      </c>
      <c r="C90" s="33" t="s">
        <v>52</v>
      </c>
      <c r="D90" s="35" t="s">
        <v>456</v>
      </c>
      <c r="E90" s="36">
        <v>131.0</v>
      </c>
      <c r="F90" s="37">
        <v>1.0</v>
      </c>
      <c r="G90" s="33" t="s">
        <v>457</v>
      </c>
      <c r="H90" s="40" t="s">
        <v>286</v>
      </c>
      <c r="I90" s="24"/>
      <c r="J90" s="24"/>
      <c r="K90" s="24"/>
      <c r="L90" s="24"/>
      <c r="M90" s="24"/>
      <c r="N90" s="24"/>
      <c r="O90" s="24"/>
      <c r="P90" s="24"/>
      <c r="Q90" s="24"/>
      <c r="R90" s="24"/>
      <c r="S90" s="24"/>
      <c r="T90" s="24"/>
      <c r="U90" s="24"/>
      <c r="V90" s="24"/>
      <c r="W90" s="24"/>
      <c r="X90" s="24"/>
      <c r="Y90" s="24"/>
    </row>
    <row r="91">
      <c r="A91" s="33" t="s">
        <v>458</v>
      </c>
      <c r="B91" s="34" t="s">
        <v>459</v>
      </c>
      <c r="C91" s="33" t="s">
        <v>52</v>
      </c>
      <c r="D91" s="35" t="s">
        <v>460</v>
      </c>
      <c r="E91" s="36">
        <v>205.0</v>
      </c>
      <c r="F91" s="37">
        <v>0.0</v>
      </c>
      <c r="G91" s="33" t="s">
        <v>461</v>
      </c>
      <c r="H91" s="40"/>
      <c r="I91" s="24"/>
      <c r="J91" s="24"/>
      <c r="K91" s="24"/>
      <c r="L91" s="24"/>
      <c r="M91" s="24"/>
      <c r="N91" s="24"/>
      <c r="O91" s="24"/>
      <c r="P91" s="24"/>
      <c r="Q91" s="24"/>
      <c r="R91" s="24"/>
      <c r="S91" s="24"/>
      <c r="T91" s="24"/>
      <c r="U91" s="24"/>
      <c r="V91" s="24"/>
      <c r="W91" s="24"/>
      <c r="X91" s="24"/>
      <c r="Y91" s="24"/>
    </row>
    <row r="92">
      <c r="A92" s="33" t="s">
        <v>462</v>
      </c>
      <c r="B92" s="34" t="s">
        <v>463</v>
      </c>
      <c r="C92" s="33" t="s">
        <v>47</v>
      </c>
      <c r="D92" s="35" t="s">
        <v>464</v>
      </c>
      <c r="E92" s="36">
        <v>145.0</v>
      </c>
      <c r="F92" s="37">
        <v>1.0</v>
      </c>
      <c r="G92" s="33" t="s">
        <v>465</v>
      </c>
      <c r="H92" s="40" t="s">
        <v>466</v>
      </c>
      <c r="I92" s="24"/>
      <c r="J92" s="24"/>
      <c r="K92" s="24"/>
      <c r="L92" s="24"/>
      <c r="M92" s="24"/>
      <c r="N92" s="24"/>
      <c r="O92" s="24"/>
      <c r="P92" s="24"/>
      <c r="Q92" s="24"/>
      <c r="R92" s="24"/>
      <c r="S92" s="24"/>
      <c r="T92" s="24"/>
      <c r="U92" s="24"/>
      <c r="V92" s="24"/>
      <c r="W92" s="24"/>
      <c r="X92" s="24"/>
      <c r="Y92" s="24"/>
    </row>
    <row r="93">
      <c r="A93" s="33" t="s">
        <v>467</v>
      </c>
      <c r="B93" s="34" t="s">
        <v>468</v>
      </c>
      <c r="C93" s="33" t="s">
        <v>47</v>
      </c>
      <c r="D93" s="35" t="s">
        <v>469</v>
      </c>
      <c r="E93" s="36">
        <v>211.0</v>
      </c>
      <c r="F93" s="37">
        <v>5.0</v>
      </c>
      <c r="G93" s="33" t="s">
        <v>470</v>
      </c>
      <c r="H93" s="40" t="s">
        <v>471</v>
      </c>
      <c r="I93" s="24"/>
      <c r="J93" s="24"/>
      <c r="K93" s="24"/>
      <c r="L93" s="24"/>
      <c r="M93" s="24"/>
      <c r="N93" s="24"/>
      <c r="O93" s="24"/>
      <c r="P93" s="24"/>
      <c r="Q93" s="24"/>
      <c r="R93" s="24"/>
      <c r="S93" s="24"/>
      <c r="T93" s="24"/>
      <c r="U93" s="24"/>
      <c r="V93" s="24"/>
      <c r="W93" s="24"/>
      <c r="X93" s="24"/>
      <c r="Y93" s="24"/>
    </row>
    <row r="94">
      <c r="A94" s="33" t="s">
        <v>472</v>
      </c>
      <c r="B94" s="34" t="s">
        <v>473</v>
      </c>
      <c r="C94" s="33" t="s">
        <v>52</v>
      </c>
      <c r="D94" s="35" t="s">
        <v>474</v>
      </c>
      <c r="E94" s="36">
        <v>254.0</v>
      </c>
      <c r="F94" s="37">
        <v>2.0</v>
      </c>
      <c r="G94" s="33" t="s">
        <v>475</v>
      </c>
      <c r="H94" s="40"/>
      <c r="I94" s="24"/>
      <c r="J94" s="24"/>
      <c r="K94" s="24"/>
      <c r="L94" s="24"/>
      <c r="M94" s="24"/>
      <c r="N94" s="24"/>
      <c r="O94" s="24"/>
      <c r="P94" s="24"/>
      <c r="Q94" s="24"/>
      <c r="R94" s="24"/>
      <c r="S94" s="24"/>
      <c r="T94" s="24"/>
      <c r="U94" s="24"/>
      <c r="V94" s="24"/>
      <c r="W94" s="24"/>
      <c r="X94" s="24"/>
      <c r="Y94" s="24"/>
    </row>
    <row r="95">
      <c r="A95" s="33" t="s">
        <v>476</v>
      </c>
      <c r="B95" s="34" t="s">
        <v>477</v>
      </c>
      <c r="C95" s="33" t="s">
        <v>52</v>
      </c>
      <c r="D95" s="35" t="s">
        <v>478</v>
      </c>
      <c r="E95" s="36">
        <v>296.0</v>
      </c>
      <c r="F95" s="37">
        <v>1.0</v>
      </c>
      <c r="G95" s="33" t="s">
        <v>479</v>
      </c>
      <c r="H95" s="40" t="s">
        <v>480</v>
      </c>
      <c r="I95" s="24"/>
      <c r="J95" s="24"/>
      <c r="K95" s="24"/>
      <c r="L95" s="24"/>
      <c r="M95" s="24"/>
      <c r="N95" s="24"/>
      <c r="O95" s="24"/>
      <c r="P95" s="24"/>
      <c r="Q95" s="24"/>
      <c r="R95" s="24"/>
      <c r="S95" s="24"/>
      <c r="T95" s="24"/>
      <c r="U95" s="24"/>
      <c r="V95" s="24"/>
      <c r="W95" s="24"/>
      <c r="X95" s="24"/>
      <c r="Y95" s="24"/>
    </row>
    <row r="96">
      <c r="A96" s="33" t="s">
        <v>481</v>
      </c>
      <c r="B96" s="34" t="s">
        <v>482</v>
      </c>
      <c r="C96" s="33" t="s">
        <v>483</v>
      </c>
      <c r="D96" s="35" t="s">
        <v>484</v>
      </c>
      <c r="E96" s="36">
        <v>152.0</v>
      </c>
      <c r="F96" s="37">
        <v>2.0</v>
      </c>
      <c r="G96" s="33" t="s">
        <v>485</v>
      </c>
      <c r="H96" s="40" t="s">
        <v>480</v>
      </c>
      <c r="I96" s="24"/>
      <c r="J96" s="24"/>
      <c r="K96" s="24"/>
      <c r="L96" s="24"/>
      <c r="M96" s="24"/>
      <c r="N96" s="24"/>
      <c r="O96" s="24"/>
      <c r="P96" s="24"/>
      <c r="Q96" s="24"/>
      <c r="R96" s="24"/>
      <c r="S96" s="24"/>
      <c r="T96" s="24"/>
      <c r="U96" s="24"/>
      <c r="V96" s="24"/>
      <c r="W96" s="24"/>
      <c r="X96" s="24"/>
      <c r="Y96" s="24"/>
    </row>
    <row r="97">
      <c r="A97" s="33" t="s">
        <v>486</v>
      </c>
      <c r="B97" s="34" t="s">
        <v>487</v>
      </c>
      <c r="C97" s="33" t="s">
        <v>47</v>
      </c>
      <c r="D97" s="35" t="s">
        <v>488</v>
      </c>
      <c r="E97" s="36">
        <v>256.0</v>
      </c>
      <c r="F97" s="37">
        <v>2.0</v>
      </c>
      <c r="G97" s="33" t="s">
        <v>489</v>
      </c>
      <c r="H97" s="40"/>
      <c r="I97" s="24"/>
      <c r="J97" s="24"/>
      <c r="K97" s="24"/>
      <c r="L97" s="24"/>
      <c r="M97" s="24"/>
      <c r="N97" s="24"/>
      <c r="O97" s="24"/>
      <c r="P97" s="24"/>
      <c r="Q97" s="24"/>
      <c r="R97" s="24"/>
      <c r="S97" s="24"/>
      <c r="T97" s="24"/>
      <c r="U97" s="24"/>
      <c r="V97" s="24"/>
      <c r="W97" s="24"/>
      <c r="X97" s="24"/>
      <c r="Y97" s="24"/>
    </row>
    <row r="98">
      <c r="A98" s="33" t="s">
        <v>490</v>
      </c>
      <c r="B98" s="34" t="s">
        <v>491</v>
      </c>
      <c r="C98" s="33" t="s">
        <v>52</v>
      </c>
      <c r="D98" s="35" t="s">
        <v>492</v>
      </c>
      <c r="E98" s="36">
        <v>210.0</v>
      </c>
      <c r="F98" s="37">
        <v>3.0</v>
      </c>
      <c r="G98" s="33" t="s">
        <v>493</v>
      </c>
      <c r="H98" s="40"/>
      <c r="I98" s="24"/>
      <c r="J98" s="24"/>
      <c r="K98" s="24"/>
      <c r="L98" s="24"/>
      <c r="M98" s="24"/>
      <c r="N98" s="24"/>
      <c r="O98" s="24"/>
      <c r="P98" s="24"/>
      <c r="Q98" s="24"/>
      <c r="R98" s="24"/>
      <c r="S98" s="24"/>
      <c r="T98" s="24"/>
      <c r="U98" s="24"/>
      <c r="V98" s="24"/>
      <c r="W98" s="24"/>
      <c r="X98" s="24"/>
      <c r="Y98" s="24"/>
    </row>
    <row r="99">
      <c r="A99" s="33" t="s">
        <v>494</v>
      </c>
      <c r="B99" s="34" t="s">
        <v>495</v>
      </c>
      <c r="C99" s="33" t="s">
        <v>47</v>
      </c>
      <c r="D99" s="35" t="s">
        <v>496</v>
      </c>
      <c r="E99" s="36">
        <v>177.0</v>
      </c>
      <c r="F99" s="37">
        <v>0.0</v>
      </c>
      <c r="G99" s="33" t="s">
        <v>497</v>
      </c>
      <c r="H99" s="40" t="s">
        <v>498</v>
      </c>
      <c r="I99" s="24"/>
      <c r="J99" s="24"/>
      <c r="K99" s="24"/>
      <c r="L99" s="24"/>
      <c r="M99" s="24"/>
      <c r="N99" s="24"/>
      <c r="O99" s="24"/>
      <c r="P99" s="24"/>
      <c r="Q99" s="24"/>
      <c r="R99" s="24"/>
      <c r="S99" s="24"/>
      <c r="T99" s="24"/>
      <c r="U99" s="24"/>
      <c r="V99" s="24"/>
      <c r="W99" s="24"/>
      <c r="X99" s="24"/>
      <c r="Y99" s="24"/>
    </row>
    <row r="100">
      <c r="A100" s="33" t="s">
        <v>499</v>
      </c>
      <c r="B100" s="34" t="s">
        <v>500</v>
      </c>
      <c r="C100" s="33" t="s">
        <v>52</v>
      </c>
      <c r="D100" s="35" t="s">
        <v>501</v>
      </c>
      <c r="E100" s="36">
        <v>76.0</v>
      </c>
      <c r="F100" s="37">
        <v>0.0</v>
      </c>
      <c r="G100" s="33" t="s">
        <v>502</v>
      </c>
      <c r="H100" s="40" t="s">
        <v>503</v>
      </c>
      <c r="I100" s="24"/>
      <c r="J100" s="24"/>
      <c r="K100" s="24"/>
      <c r="L100" s="24"/>
      <c r="M100" s="24"/>
      <c r="N100" s="24"/>
      <c r="O100" s="24"/>
      <c r="P100" s="24"/>
      <c r="Q100" s="24"/>
      <c r="R100" s="24"/>
      <c r="S100" s="24"/>
      <c r="T100" s="24"/>
      <c r="U100" s="24"/>
      <c r="V100" s="24"/>
      <c r="W100" s="24"/>
      <c r="X100" s="24"/>
      <c r="Y100" s="24"/>
    </row>
    <row r="101">
      <c r="A101" s="33" t="s">
        <v>504</v>
      </c>
      <c r="B101" s="34" t="s">
        <v>505</v>
      </c>
      <c r="C101" s="33" t="s">
        <v>52</v>
      </c>
      <c r="D101" s="35" t="s">
        <v>506</v>
      </c>
      <c r="E101" s="36">
        <v>250.0</v>
      </c>
      <c r="F101" s="37">
        <v>1.0</v>
      </c>
      <c r="G101" s="33" t="s">
        <v>507</v>
      </c>
      <c r="H101" s="40" t="s">
        <v>508</v>
      </c>
      <c r="I101" s="24"/>
      <c r="J101" s="24"/>
      <c r="K101" s="24"/>
      <c r="L101" s="24"/>
      <c r="M101" s="24"/>
      <c r="N101" s="24"/>
      <c r="O101" s="24"/>
      <c r="P101" s="24"/>
      <c r="Q101" s="24"/>
      <c r="R101" s="24"/>
      <c r="S101" s="24"/>
      <c r="T101" s="24"/>
      <c r="U101" s="24"/>
      <c r="V101" s="24"/>
      <c r="W101" s="24"/>
      <c r="X101" s="24"/>
      <c r="Y101" s="24"/>
    </row>
    <row r="102">
      <c r="A102" s="33" t="s">
        <v>509</v>
      </c>
      <c r="B102" s="34" t="s">
        <v>510</v>
      </c>
      <c r="C102" s="33" t="s">
        <v>52</v>
      </c>
      <c r="D102" s="35" t="s">
        <v>511</v>
      </c>
      <c r="E102" s="36">
        <v>256.0</v>
      </c>
      <c r="F102" s="37">
        <v>2.0</v>
      </c>
      <c r="G102" s="33" t="s">
        <v>512</v>
      </c>
      <c r="H102" s="40" t="s">
        <v>410</v>
      </c>
      <c r="I102" s="24"/>
      <c r="J102" s="24"/>
      <c r="K102" s="24"/>
      <c r="L102" s="24"/>
      <c r="M102" s="24"/>
      <c r="N102" s="24"/>
      <c r="O102" s="24"/>
      <c r="P102" s="24"/>
      <c r="Q102" s="24"/>
      <c r="R102" s="24"/>
      <c r="S102" s="24"/>
      <c r="T102" s="24"/>
      <c r="U102" s="24"/>
      <c r="V102" s="24"/>
      <c r="W102" s="24"/>
      <c r="X102" s="24"/>
      <c r="Y102" s="24"/>
    </row>
    <row r="103">
      <c r="A103" s="33" t="s">
        <v>513</v>
      </c>
      <c r="B103" s="34" t="s">
        <v>514</v>
      </c>
      <c r="C103" s="33" t="s">
        <v>52</v>
      </c>
      <c r="D103" s="35" t="s">
        <v>515</v>
      </c>
      <c r="E103" s="36">
        <v>498.0</v>
      </c>
      <c r="F103" s="37">
        <v>3.0</v>
      </c>
      <c r="G103" s="33" t="s">
        <v>516</v>
      </c>
      <c r="H103" s="40" t="s">
        <v>410</v>
      </c>
      <c r="I103" s="24"/>
      <c r="J103" s="24"/>
      <c r="K103" s="24"/>
      <c r="L103" s="24"/>
      <c r="M103" s="24"/>
      <c r="N103" s="24"/>
      <c r="O103" s="24"/>
      <c r="P103" s="24"/>
      <c r="Q103" s="24"/>
      <c r="R103" s="24"/>
      <c r="S103" s="24"/>
      <c r="T103" s="24"/>
      <c r="U103" s="24"/>
      <c r="V103" s="24"/>
      <c r="W103" s="24"/>
      <c r="X103" s="24"/>
      <c r="Y103" s="24"/>
    </row>
    <row r="104">
      <c r="A104" s="33" t="s">
        <v>517</v>
      </c>
      <c r="B104" s="34" t="s">
        <v>518</v>
      </c>
      <c r="C104" s="33" t="s">
        <v>52</v>
      </c>
      <c r="D104" s="35" t="s">
        <v>519</v>
      </c>
      <c r="E104" s="36">
        <v>373.0</v>
      </c>
      <c r="F104" s="37">
        <v>6.0</v>
      </c>
      <c r="G104" s="33" t="s">
        <v>520</v>
      </c>
      <c r="H104" s="40"/>
      <c r="I104" s="24"/>
      <c r="J104" s="24"/>
      <c r="K104" s="24"/>
      <c r="L104" s="24"/>
      <c r="M104" s="24"/>
      <c r="N104" s="24"/>
      <c r="O104" s="24"/>
      <c r="P104" s="24"/>
      <c r="Q104" s="24"/>
      <c r="R104" s="24"/>
      <c r="S104" s="24"/>
      <c r="T104" s="24"/>
      <c r="U104" s="24"/>
      <c r="V104" s="24"/>
      <c r="W104" s="24"/>
      <c r="X104" s="24"/>
      <c r="Y104" s="24"/>
    </row>
    <row r="105">
      <c r="A105" s="33" t="s">
        <v>521</v>
      </c>
      <c r="B105" s="34" t="s">
        <v>522</v>
      </c>
      <c r="C105" s="33" t="s">
        <v>47</v>
      </c>
      <c r="D105" s="35" t="s">
        <v>523</v>
      </c>
      <c r="E105" s="36">
        <v>138.0</v>
      </c>
      <c r="F105" s="37">
        <v>1.0</v>
      </c>
      <c r="G105" s="33" t="s">
        <v>524</v>
      </c>
      <c r="H105" s="40"/>
      <c r="I105" s="24"/>
      <c r="J105" s="24"/>
      <c r="K105" s="24"/>
      <c r="L105" s="24"/>
      <c r="M105" s="24"/>
      <c r="N105" s="24"/>
      <c r="O105" s="24"/>
      <c r="P105" s="24"/>
      <c r="Q105" s="24"/>
      <c r="R105" s="24"/>
      <c r="S105" s="24"/>
      <c r="T105" s="24"/>
      <c r="U105" s="24"/>
      <c r="V105" s="24"/>
      <c r="W105" s="24"/>
      <c r="X105" s="24"/>
      <c r="Y105" s="24"/>
    </row>
    <row r="106">
      <c r="A106" s="33" t="s">
        <v>525</v>
      </c>
      <c r="B106" s="34" t="s">
        <v>526</v>
      </c>
      <c r="C106" s="33" t="s">
        <v>52</v>
      </c>
      <c r="D106" s="35" t="s">
        <v>527</v>
      </c>
      <c r="E106" s="36">
        <v>298.0</v>
      </c>
      <c r="F106" s="37">
        <v>1.0</v>
      </c>
      <c r="G106" s="33" t="s">
        <v>528</v>
      </c>
      <c r="H106" s="40" t="s">
        <v>529</v>
      </c>
      <c r="I106" s="24"/>
      <c r="J106" s="24"/>
      <c r="K106" s="24"/>
      <c r="L106" s="24"/>
      <c r="M106" s="24"/>
      <c r="N106" s="24"/>
      <c r="O106" s="24"/>
      <c r="P106" s="24"/>
      <c r="Q106" s="24"/>
      <c r="R106" s="24"/>
      <c r="S106" s="24"/>
      <c r="T106" s="24"/>
      <c r="U106" s="24"/>
      <c r="V106" s="24"/>
      <c r="W106" s="24"/>
      <c r="X106" s="24"/>
      <c r="Y106" s="24"/>
    </row>
    <row r="107">
      <c r="A107" s="33" t="s">
        <v>530</v>
      </c>
      <c r="B107" s="34" t="s">
        <v>531</v>
      </c>
      <c r="C107" s="33" t="s">
        <v>52</v>
      </c>
      <c r="D107" s="35" t="s">
        <v>532</v>
      </c>
      <c r="E107" s="36">
        <v>290.0</v>
      </c>
      <c r="F107" s="37">
        <v>0.0</v>
      </c>
      <c r="G107" s="33" t="s">
        <v>533</v>
      </c>
      <c r="H107" s="40" t="s">
        <v>534</v>
      </c>
      <c r="I107" s="24"/>
      <c r="J107" s="24"/>
      <c r="K107" s="24"/>
      <c r="L107" s="24"/>
      <c r="M107" s="24"/>
      <c r="N107" s="24"/>
      <c r="O107" s="24"/>
      <c r="P107" s="24"/>
      <c r="Q107" s="24"/>
      <c r="R107" s="24"/>
      <c r="S107" s="24"/>
      <c r="T107" s="24"/>
      <c r="U107" s="24"/>
      <c r="V107" s="24"/>
      <c r="W107" s="24"/>
      <c r="X107" s="24"/>
      <c r="Y107" s="24"/>
    </row>
    <row r="108">
      <c r="A108" s="33" t="s">
        <v>535</v>
      </c>
      <c r="B108" s="34" t="s">
        <v>536</v>
      </c>
      <c r="C108" s="33" t="s">
        <v>52</v>
      </c>
      <c r="D108" s="35" t="s">
        <v>537</v>
      </c>
      <c r="E108" s="36">
        <v>234.0</v>
      </c>
      <c r="F108" s="37">
        <v>6.0</v>
      </c>
      <c r="G108" s="33" t="s">
        <v>538</v>
      </c>
      <c r="H108" s="40"/>
      <c r="I108" s="24"/>
      <c r="J108" s="24"/>
      <c r="K108" s="24"/>
      <c r="L108" s="24"/>
      <c r="M108" s="24"/>
      <c r="N108" s="24"/>
      <c r="O108" s="24"/>
      <c r="P108" s="24"/>
      <c r="Q108" s="24"/>
      <c r="R108" s="24"/>
      <c r="S108" s="24"/>
      <c r="T108" s="24"/>
      <c r="U108" s="24"/>
      <c r="V108" s="24"/>
      <c r="W108" s="24"/>
      <c r="X108" s="24"/>
      <c r="Y108" s="24"/>
    </row>
    <row r="109">
      <c r="A109" s="33" t="s">
        <v>539</v>
      </c>
      <c r="B109" s="34" t="s">
        <v>540</v>
      </c>
      <c r="C109" s="33" t="s">
        <v>52</v>
      </c>
      <c r="D109" s="35" t="s">
        <v>541</v>
      </c>
      <c r="E109" s="36">
        <v>336.0</v>
      </c>
      <c r="F109" s="37">
        <v>6.0</v>
      </c>
      <c r="G109" s="33" t="s">
        <v>542</v>
      </c>
      <c r="H109" s="40" t="s">
        <v>543</v>
      </c>
      <c r="I109" s="24"/>
      <c r="J109" s="24"/>
      <c r="K109" s="24"/>
      <c r="L109" s="24"/>
      <c r="M109" s="24"/>
      <c r="N109" s="24"/>
      <c r="O109" s="24"/>
      <c r="P109" s="24"/>
      <c r="Q109" s="24"/>
      <c r="R109" s="24"/>
      <c r="S109" s="24"/>
      <c r="T109" s="24"/>
      <c r="U109" s="24"/>
      <c r="V109" s="24"/>
      <c r="W109" s="24"/>
      <c r="X109" s="24"/>
      <c r="Y109" s="24"/>
    </row>
    <row r="110">
      <c r="A110" s="33" t="s">
        <v>544</v>
      </c>
      <c r="B110" s="34" t="s">
        <v>545</v>
      </c>
      <c r="C110" s="33" t="s">
        <v>47</v>
      </c>
      <c r="D110" s="35" t="s">
        <v>546</v>
      </c>
      <c r="E110" s="36">
        <v>211.0</v>
      </c>
      <c r="F110" s="37">
        <v>2.0</v>
      </c>
      <c r="G110" s="33" t="s">
        <v>547</v>
      </c>
      <c r="H110" s="40" t="s">
        <v>548</v>
      </c>
      <c r="I110" s="24"/>
      <c r="J110" s="24"/>
      <c r="K110" s="24"/>
      <c r="L110" s="24"/>
      <c r="M110" s="24"/>
      <c r="N110" s="24"/>
      <c r="O110" s="24"/>
      <c r="P110" s="24"/>
      <c r="Q110" s="24"/>
      <c r="R110" s="24"/>
      <c r="S110" s="24"/>
      <c r="T110" s="24"/>
      <c r="U110" s="24"/>
      <c r="V110" s="24"/>
      <c r="W110" s="24"/>
      <c r="X110" s="24"/>
      <c r="Y110" s="24"/>
    </row>
    <row r="111">
      <c r="A111" s="33" t="s">
        <v>549</v>
      </c>
      <c r="B111" s="34" t="s">
        <v>550</v>
      </c>
      <c r="C111" s="33" t="s">
        <v>52</v>
      </c>
      <c r="D111" s="35" t="s">
        <v>551</v>
      </c>
      <c r="E111" s="36">
        <v>348.0</v>
      </c>
      <c r="F111" s="37">
        <v>2.0</v>
      </c>
      <c r="G111" s="33" t="s">
        <v>552</v>
      </c>
      <c r="H111" s="40"/>
      <c r="I111" s="24"/>
      <c r="J111" s="24"/>
      <c r="K111" s="24"/>
      <c r="L111" s="24"/>
      <c r="M111" s="24"/>
      <c r="N111" s="24"/>
      <c r="O111" s="24"/>
      <c r="P111" s="24"/>
      <c r="Q111" s="24"/>
      <c r="R111" s="24"/>
      <c r="S111" s="24"/>
      <c r="T111" s="24"/>
      <c r="U111" s="24"/>
      <c r="V111" s="24"/>
      <c r="W111" s="24"/>
      <c r="X111" s="24"/>
      <c r="Y111" s="24"/>
    </row>
    <row r="112">
      <c r="A112" s="33" t="s">
        <v>553</v>
      </c>
      <c r="B112" s="34" t="s">
        <v>554</v>
      </c>
      <c r="C112" s="33" t="s">
        <v>47</v>
      </c>
      <c r="D112" s="35" t="s">
        <v>555</v>
      </c>
      <c r="E112" s="36">
        <v>262.0</v>
      </c>
      <c r="F112" s="37">
        <v>4.0</v>
      </c>
      <c r="G112" s="33" t="s">
        <v>556</v>
      </c>
      <c r="H112" s="40" t="s">
        <v>557</v>
      </c>
      <c r="I112" s="24"/>
      <c r="J112" s="24"/>
      <c r="K112" s="24"/>
      <c r="L112" s="24"/>
      <c r="M112" s="24"/>
      <c r="N112" s="24"/>
      <c r="O112" s="24"/>
      <c r="P112" s="24"/>
      <c r="Q112" s="24"/>
      <c r="R112" s="24"/>
      <c r="S112" s="24"/>
      <c r="T112" s="24"/>
      <c r="U112" s="24"/>
      <c r="V112" s="24"/>
      <c r="W112" s="24"/>
      <c r="X112" s="24"/>
      <c r="Y112" s="24"/>
    </row>
    <row r="113">
      <c r="A113" s="33" t="s">
        <v>558</v>
      </c>
      <c r="B113" s="34" t="s">
        <v>559</v>
      </c>
      <c r="C113" s="33" t="s">
        <v>52</v>
      </c>
      <c r="D113" s="35" t="s">
        <v>560</v>
      </c>
      <c r="E113" s="36">
        <v>240.0</v>
      </c>
      <c r="F113" s="37">
        <v>0.0</v>
      </c>
      <c r="G113" s="33" t="s">
        <v>561</v>
      </c>
      <c r="H113" s="40" t="s">
        <v>562</v>
      </c>
      <c r="I113" s="24"/>
      <c r="J113" s="24"/>
      <c r="K113" s="24"/>
      <c r="L113" s="24"/>
      <c r="M113" s="24"/>
      <c r="N113" s="24"/>
      <c r="O113" s="24"/>
      <c r="P113" s="24"/>
      <c r="Q113" s="24"/>
      <c r="R113" s="24"/>
      <c r="S113" s="24"/>
      <c r="T113" s="24"/>
      <c r="U113" s="24"/>
      <c r="V113" s="24"/>
      <c r="W113" s="24"/>
      <c r="X113" s="24"/>
      <c r="Y113" s="24"/>
    </row>
    <row r="114">
      <c r="A114" s="33" t="s">
        <v>563</v>
      </c>
      <c r="B114" s="34" t="s">
        <v>564</v>
      </c>
      <c r="C114" s="33" t="s">
        <v>52</v>
      </c>
      <c r="D114" s="35" t="s">
        <v>565</v>
      </c>
      <c r="E114" s="36">
        <v>401.0</v>
      </c>
      <c r="F114" s="37">
        <v>3.0</v>
      </c>
      <c r="G114" s="33" t="s">
        <v>566</v>
      </c>
      <c r="H114" s="40" t="s">
        <v>567</v>
      </c>
      <c r="I114" s="24"/>
      <c r="J114" s="24"/>
      <c r="K114" s="24"/>
      <c r="L114" s="24"/>
      <c r="M114" s="24"/>
      <c r="N114" s="24"/>
      <c r="O114" s="24"/>
      <c r="P114" s="24"/>
      <c r="Q114" s="24"/>
      <c r="R114" s="24"/>
      <c r="S114" s="24"/>
      <c r="T114" s="24"/>
      <c r="U114" s="24"/>
      <c r="V114" s="24"/>
      <c r="W114" s="24"/>
      <c r="X114" s="24"/>
      <c r="Y114" s="24"/>
    </row>
    <row r="115">
      <c r="A115" s="33" t="s">
        <v>568</v>
      </c>
      <c r="B115" s="34" t="s">
        <v>569</v>
      </c>
      <c r="C115" s="33" t="s">
        <v>52</v>
      </c>
      <c r="D115" s="35" t="s">
        <v>570</v>
      </c>
      <c r="E115" s="36">
        <v>474.0</v>
      </c>
      <c r="F115" s="37">
        <v>8.0</v>
      </c>
      <c r="G115" s="33" t="s">
        <v>571</v>
      </c>
      <c r="H115" s="40"/>
      <c r="I115" s="24"/>
      <c r="J115" s="24"/>
      <c r="K115" s="24"/>
      <c r="L115" s="24"/>
      <c r="M115" s="24"/>
      <c r="N115" s="24"/>
      <c r="O115" s="24"/>
      <c r="P115" s="24"/>
      <c r="Q115" s="24"/>
      <c r="R115" s="24"/>
      <c r="S115" s="24"/>
      <c r="T115" s="24"/>
      <c r="U115" s="24"/>
      <c r="V115" s="24"/>
      <c r="W115" s="24"/>
      <c r="X115" s="24"/>
      <c r="Y115" s="24"/>
    </row>
    <row r="116">
      <c r="A116" s="33" t="s">
        <v>572</v>
      </c>
      <c r="B116" s="34" t="s">
        <v>573</v>
      </c>
      <c r="C116" s="33" t="s">
        <v>52</v>
      </c>
      <c r="D116" s="35" t="s">
        <v>574</v>
      </c>
      <c r="E116" s="36">
        <v>388.0</v>
      </c>
      <c r="F116" s="37">
        <v>6.0</v>
      </c>
      <c r="G116" s="33" t="s">
        <v>575</v>
      </c>
      <c r="H116" s="40" t="s">
        <v>576</v>
      </c>
      <c r="I116" s="24"/>
      <c r="J116" s="24"/>
      <c r="K116" s="24"/>
      <c r="L116" s="24"/>
      <c r="M116" s="24"/>
      <c r="N116" s="24"/>
      <c r="O116" s="24"/>
      <c r="P116" s="24"/>
      <c r="Q116" s="24"/>
      <c r="R116" s="24"/>
      <c r="S116" s="24"/>
      <c r="T116" s="24"/>
      <c r="U116" s="24"/>
      <c r="V116" s="24"/>
      <c r="W116" s="24"/>
      <c r="X116" s="24"/>
      <c r="Y116" s="24"/>
    </row>
    <row r="117">
      <c r="A117" s="33" t="s">
        <v>577</v>
      </c>
      <c r="B117" s="34" t="s">
        <v>578</v>
      </c>
      <c r="C117" s="33" t="s">
        <v>52</v>
      </c>
      <c r="D117" s="35" t="s">
        <v>579</v>
      </c>
      <c r="E117" s="36">
        <v>481.0</v>
      </c>
      <c r="F117" s="37">
        <v>9.0</v>
      </c>
      <c r="G117" s="33" t="s">
        <v>580</v>
      </c>
      <c r="H117" s="40" t="s">
        <v>581</v>
      </c>
      <c r="I117" s="24"/>
      <c r="J117" s="24"/>
      <c r="K117" s="24"/>
      <c r="L117" s="24"/>
      <c r="M117" s="24"/>
      <c r="N117" s="24"/>
      <c r="O117" s="24"/>
      <c r="P117" s="24"/>
      <c r="Q117" s="24"/>
      <c r="R117" s="24"/>
      <c r="S117" s="24"/>
      <c r="T117" s="24"/>
      <c r="U117" s="24"/>
      <c r="V117" s="24"/>
      <c r="W117" s="24"/>
      <c r="X117" s="24"/>
      <c r="Y117" s="24"/>
    </row>
    <row r="118">
      <c r="A118" s="33" t="s">
        <v>582</v>
      </c>
      <c r="B118" s="34" t="s">
        <v>583</v>
      </c>
      <c r="C118" s="33" t="s">
        <v>47</v>
      </c>
      <c r="D118" s="35" t="s">
        <v>584</v>
      </c>
      <c r="E118" s="36">
        <v>221.0</v>
      </c>
      <c r="F118" s="37">
        <v>3.0</v>
      </c>
      <c r="G118" s="33" t="s">
        <v>585</v>
      </c>
      <c r="H118" s="40" t="s">
        <v>586</v>
      </c>
      <c r="I118" s="24"/>
      <c r="J118" s="24"/>
      <c r="K118" s="24"/>
      <c r="L118" s="24"/>
      <c r="M118" s="24"/>
      <c r="N118" s="24"/>
      <c r="O118" s="24"/>
      <c r="P118" s="24"/>
      <c r="Q118" s="24"/>
      <c r="R118" s="24"/>
      <c r="S118" s="24"/>
      <c r="T118" s="24"/>
      <c r="U118" s="24"/>
      <c r="V118" s="24"/>
      <c r="W118" s="24"/>
      <c r="X118" s="24"/>
      <c r="Y118" s="24"/>
    </row>
    <row r="119">
      <c r="A119" s="33" t="s">
        <v>587</v>
      </c>
      <c r="B119" s="34" t="s">
        <v>588</v>
      </c>
      <c r="C119" s="33" t="s">
        <v>52</v>
      </c>
      <c r="D119" s="35" t="s">
        <v>589</v>
      </c>
      <c r="E119" s="36">
        <v>271.0</v>
      </c>
      <c r="F119" s="37">
        <v>2.0</v>
      </c>
      <c r="G119" s="33" t="s">
        <v>590</v>
      </c>
      <c r="H119" s="40" t="s">
        <v>529</v>
      </c>
      <c r="I119" s="24"/>
      <c r="J119" s="24"/>
      <c r="K119" s="24"/>
      <c r="L119" s="24"/>
      <c r="M119" s="24"/>
      <c r="N119" s="24"/>
      <c r="O119" s="24"/>
      <c r="P119" s="24"/>
      <c r="Q119" s="24"/>
      <c r="R119" s="24"/>
      <c r="S119" s="24"/>
      <c r="T119" s="24"/>
      <c r="U119" s="24"/>
      <c r="V119" s="24"/>
      <c r="W119" s="24"/>
      <c r="X119" s="24"/>
      <c r="Y119" s="24"/>
    </row>
    <row r="120">
      <c r="A120" s="33" t="s">
        <v>591</v>
      </c>
      <c r="B120" s="34" t="s">
        <v>592</v>
      </c>
      <c r="C120" s="33" t="s">
        <v>52</v>
      </c>
      <c r="D120" s="35" t="s">
        <v>593</v>
      </c>
      <c r="E120" s="36">
        <v>231.0</v>
      </c>
      <c r="F120" s="37">
        <v>2.0</v>
      </c>
      <c r="G120" s="33" t="s">
        <v>594</v>
      </c>
      <c r="H120" s="40" t="s">
        <v>595</v>
      </c>
      <c r="I120" s="24"/>
      <c r="J120" s="24"/>
      <c r="K120" s="24"/>
      <c r="L120" s="24"/>
      <c r="M120" s="24"/>
      <c r="N120" s="24"/>
      <c r="O120" s="24"/>
      <c r="P120" s="24"/>
      <c r="Q120" s="24"/>
      <c r="R120" s="24"/>
      <c r="S120" s="24"/>
      <c r="T120" s="24"/>
      <c r="U120" s="24"/>
      <c r="V120" s="24"/>
      <c r="W120" s="24"/>
      <c r="X120" s="24"/>
      <c r="Y120" s="24"/>
    </row>
    <row r="121">
      <c r="A121" s="33" t="s">
        <v>596</v>
      </c>
      <c r="B121" s="34" t="s">
        <v>597</v>
      </c>
      <c r="C121" s="33" t="s">
        <v>52</v>
      </c>
      <c r="D121" s="35" t="s">
        <v>598</v>
      </c>
      <c r="E121" s="36">
        <v>326.0</v>
      </c>
      <c r="F121" s="37">
        <v>0.0</v>
      </c>
      <c r="G121" s="33" t="s">
        <v>599</v>
      </c>
      <c r="H121" s="40" t="s">
        <v>600</v>
      </c>
      <c r="I121" s="24"/>
      <c r="J121" s="24"/>
      <c r="K121" s="24"/>
      <c r="L121" s="24"/>
      <c r="M121" s="24"/>
      <c r="N121" s="24"/>
      <c r="O121" s="24"/>
      <c r="P121" s="24"/>
      <c r="Q121" s="24"/>
      <c r="R121" s="24"/>
      <c r="S121" s="24"/>
      <c r="T121" s="24"/>
      <c r="U121" s="24"/>
      <c r="V121" s="24"/>
      <c r="W121" s="24"/>
      <c r="X121" s="24"/>
      <c r="Y121" s="24"/>
    </row>
    <row r="122">
      <c r="A122" s="33" t="s">
        <v>601</v>
      </c>
      <c r="B122" s="34" t="s">
        <v>602</v>
      </c>
      <c r="C122" s="33" t="s">
        <v>52</v>
      </c>
      <c r="D122" s="35" t="s">
        <v>603</v>
      </c>
      <c r="E122" s="36">
        <v>235.0</v>
      </c>
      <c r="F122" s="37">
        <v>1.0</v>
      </c>
      <c r="G122" s="33" t="s">
        <v>604</v>
      </c>
      <c r="H122" s="40" t="s">
        <v>605</v>
      </c>
      <c r="I122" s="24"/>
      <c r="J122" s="24"/>
      <c r="K122" s="24"/>
      <c r="L122" s="24"/>
      <c r="M122" s="24"/>
      <c r="N122" s="24"/>
      <c r="O122" s="24"/>
      <c r="P122" s="24"/>
      <c r="Q122" s="24"/>
      <c r="R122" s="24"/>
      <c r="S122" s="24"/>
      <c r="T122" s="24"/>
      <c r="U122" s="24"/>
      <c r="V122" s="24"/>
      <c r="W122" s="24"/>
      <c r="X122" s="24"/>
      <c r="Y122" s="24"/>
    </row>
    <row r="123">
      <c r="A123" s="33" t="s">
        <v>606</v>
      </c>
      <c r="B123" s="34" t="s">
        <v>607</v>
      </c>
      <c r="C123" s="33" t="s">
        <v>483</v>
      </c>
      <c r="D123" s="35" t="s">
        <v>608</v>
      </c>
      <c r="E123" s="36">
        <v>260.0</v>
      </c>
      <c r="F123" s="37">
        <v>23.0</v>
      </c>
      <c r="G123" s="33" t="s">
        <v>609</v>
      </c>
      <c r="H123" s="40" t="s">
        <v>610</v>
      </c>
      <c r="I123" s="24"/>
      <c r="J123" s="24"/>
      <c r="K123" s="24"/>
      <c r="L123" s="24"/>
      <c r="M123" s="24"/>
      <c r="N123" s="24"/>
      <c r="O123" s="24"/>
      <c r="P123" s="24"/>
      <c r="Q123" s="24"/>
      <c r="R123" s="24"/>
      <c r="S123" s="24"/>
      <c r="T123" s="24"/>
      <c r="U123" s="24"/>
      <c r="V123" s="24"/>
      <c r="W123" s="24"/>
      <c r="X123" s="24"/>
      <c r="Y123" s="24"/>
    </row>
    <row r="124">
      <c r="A124" s="33" t="s">
        <v>611</v>
      </c>
      <c r="B124" s="34" t="s">
        <v>612</v>
      </c>
      <c r="C124" s="33" t="s">
        <v>52</v>
      </c>
      <c r="D124" s="35" t="s">
        <v>613</v>
      </c>
      <c r="E124" s="36">
        <v>493.0</v>
      </c>
      <c r="F124" s="37">
        <v>14.0</v>
      </c>
      <c r="G124" s="33" t="s">
        <v>614</v>
      </c>
      <c r="H124" s="40" t="s">
        <v>615</v>
      </c>
      <c r="I124" s="24"/>
      <c r="J124" s="24"/>
      <c r="K124" s="24"/>
      <c r="L124" s="24"/>
      <c r="M124" s="24"/>
      <c r="N124" s="24"/>
      <c r="O124" s="24"/>
      <c r="P124" s="24"/>
      <c r="Q124" s="24"/>
      <c r="R124" s="24"/>
      <c r="S124" s="24"/>
      <c r="T124" s="24"/>
      <c r="U124" s="24"/>
      <c r="V124" s="24"/>
      <c r="W124" s="24"/>
      <c r="X124" s="24"/>
      <c r="Y124" s="24"/>
    </row>
    <row r="125">
      <c r="A125" s="33" t="s">
        <v>616</v>
      </c>
      <c r="B125" s="34" t="s">
        <v>617</v>
      </c>
      <c r="C125" s="33" t="s">
        <v>52</v>
      </c>
      <c r="D125" s="35" t="s">
        <v>618</v>
      </c>
      <c r="E125" s="36">
        <v>302.0</v>
      </c>
      <c r="F125" s="37">
        <v>3.0</v>
      </c>
      <c r="G125" s="33" t="s">
        <v>619</v>
      </c>
      <c r="H125" s="40" t="s">
        <v>620</v>
      </c>
      <c r="I125" s="24"/>
      <c r="J125" s="24"/>
      <c r="K125" s="24"/>
      <c r="L125" s="24"/>
      <c r="M125" s="24"/>
      <c r="N125" s="24"/>
      <c r="O125" s="24"/>
      <c r="P125" s="24"/>
      <c r="Q125" s="24"/>
      <c r="R125" s="24"/>
      <c r="S125" s="24"/>
      <c r="T125" s="24"/>
      <c r="U125" s="24"/>
      <c r="V125" s="24"/>
      <c r="W125" s="24"/>
      <c r="X125" s="24"/>
      <c r="Y125" s="24"/>
    </row>
    <row r="126">
      <c r="A126" s="33" t="s">
        <v>621</v>
      </c>
      <c r="B126" s="34" t="s">
        <v>622</v>
      </c>
      <c r="C126" s="33" t="s">
        <v>52</v>
      </c>
      <c r="D126" s="35" t="s">
        <v>623</v>
      </c>
      <c r="E126" s="36">
        <v>412.0</v>
      </c>
      <c r="F126" s="37">
        <v>16.0</v>
      </c>
      <c r="G126" s="33" t="s">
        <v>624</v>
      </c>
      <c r="H126" s="40" t="s">
        <v>625</v>
      </c>
      <c r="I126" s="24"/>
      <c r="J126" s="24"/>
      <c r="K126" s="24"/>
      <c r="L126" s="24"/>
      <c r="M126" s="24"/>
      <c r="N126" s="24"/>
      <c r="O126" s="24"/>
      <c r="P126" s="24"/>
      <c r="Q126" s="24"/>
      <c r="R126" s="24"/>
      <c r="S126" s="24"/>
      <c r="T126" s="24"/>
      <c r="U126" s="24"/>
      <c r="V126" s="24"/>
      <c r="W126" s="24"/>
      <c r="X126" s="24"/>
      <c r="Y126" s="24"/>
    </row>
    <row r="127">
      <c r="A127" s="33" t="s">
        <v>626</v>
      </c>
      <c r="B127" s="34" t="s">
        <v>627</v>
      </c>
      <c r="C127" s="33" t="s">
        <v>52</v>
      </c>
      <c r="D127" s="35" t="s">
        <v>628</v>
      </c>
      <c r="E127" s="36">
        <v>414.0</v>
      </c>
      <c r="F127" s="37">
        <v>13.0</v>
      </c>
      <c r="G127" s="33" t="s">
        <v>629</v>
      </c>
      <c r="H127" s="40" t="s">
        <v>620</v>
      </c>
      <c r="I127" s="24"/>
      <c r="J127" s="24"/>
      <c r="K127" s="24"/>
      <c r="L127" s="24"/>
      <c r="M127" s="24"/>
      <c r="N127" s="24"/>
      <c r="O127" s="24"/>
      <c r="P127" s="24"/>
      <c r="Q127" s="24"/>
      <c r="R127" s="24"/>
      <c r="S127" s="24"/>
      <c r="T127" s="24"/>
      <c r="U127" s="24"/>
      <c r="V127" s="24"/>
      <c r="W127" s="24"/>
      <c r="X127" s="24"/>
      <c r="Y127" s="24"/>
    </row>
    <row r="128">
      <c r="A128" s="33" t="s">
        <v>630</v>
      </c>
      <c r="B128" s="34" t="s">
        <v>631</v>
      </c>
      <c r="C128" s="33" t="s">
        <v>52</v>
      </c>
      <c r="D128" s="35" t="s">
        <v>632</v>
      </c>
      <c r="E128" s="36">
        <v>255.0</v>
      </c>
      <c r="F128" s="37">
        <v>3.0</v>
      </c>
      <c r="G128" s="33" t="s">
        <v>633</v>
      </c>
      <c r="H128" s="40" t="s">
        <v>634</v>
      </c>
      <c r="I128" s="24"/>
      <c r="J128" s="24"/>
      <c r="K128" s="24"/>
      <c r="L128" s="24"/>
      <c r="M128" s="24"/>
      <c r="N128" s="24"/>
      <c r="O128" s="24"/>
      <c r="P128" s="24"/>
      <c r="Q128" s="24"/>
      <c r="R128" s="24"/>
      <c r="S128" s="24"/>
      <c r="T128" s="24"/>
      <c r="U128" s="24"/>
      <c r="V128" s="24"/>
      <c r="W128" s="24"/>
      <c r="X128" s="24"/>
      <c r="Y128" s="24"/>
    </row>
    <row r="129">
      <c r="A129" s="33" t="s">
        <v>635</v>
      </c>
      <c r="B129" s="34" t="s">
        <v>636</v>
      </c>
      <c r="C129" s="33" t="s">
        <v>52</v>
      </c>
      <c r="D129" s="35" t="s">
        <v>637</v>
      </c>
      <c r="E129" s="36">
        <v>391.0</v>
      </c>
      <c r="F129" s="37">
        <v>10.0</v>
      </c>
      <c r="G129" s="33" t="s">
        <v>638</v>
      </c>
      <c r="H129" s="40" t="s">
        <v>639</v>
      </c>
      <c r="I129" s="24"/>
      <c r="J129" s="24"/>
      <c r="K129" s="24"/>
      <c r="L129" s="24"/>
      <c r="M129" s="24"/>
      <c r="N129" s="24"/>
      <c r="O129" s="24"/>
      <c r="P129" s="24"/>
      <c r="Q129" s="24"/>
      <c r="R129" s="24"/>
      <c r="S129" s="24"/>
      <c r="T129" s="24"/>
      <c r="U129" s="24"/>
      <c r="V129" s="24"/>
      <c r="W129" s="24"/>
      <c r="X129" s="24"/>
      <c r="Y129" s="24"/>
    </row>
    <row r="130">
      <c r="A130" s="33" t="s">
        <v>640</v>
      </c>
      <c r="B130" s="34" t="s">
        <v>641</v>
      </c>
      <c r="C130" s="33" t="s">
        <v>52</v>
      </c>
      <c r="D130" s="35" t="s">
        <v>642</v>
      </c>
      <c r="E130" s="36">
        <v>1287.0</v>
      </c>
      <c r="F130" s="37">
        <v>93.0</v>
      </c>
      <c r="G130" s="33" t="s">
        <v>643</v>
      </c>
      <c r="H130" s="40" t="s">
        <v>644</v>
      </c>
      <c r="I130" s="24"/>
      <c r="J130" s="24"/>
      <c r="K130" s="24"/>
      <c r="L130" s="24"/>
      <c r="M130" s="24"/>
      <c r="N130" s="24"/>
      <c r="O130" s="24"/>
      <c r="P130" s="24"/>
      <c r="Q130" s="24"/>
      <c r="R130" s="24"/>
      <c r="S130" s="24"/>
      <c r="T130" s="24"/>
      <c r="U130" s="24"/>
      <c r="V130" s="24"/>
      <c r="W130" s="24"/>
      <c r="X130" s="24"/>
      <c r="Y130" s="24"/>
    </row>
    <row r="131">
      <c r="A131" s="33" t="s">
        <v>645</v>
      </c>
      <c r="B131" s="34" t="s">
        <v>646</v>
      </c>
      <c r="C131" s="33" t="s">
        <v>52</v>
      </c>
      <c r="D131" s="35" t="s">
        <v>647</v>
      </c>
      <c r="E131" s="36">
        <v>269.0</v>
      </c>
      <c r="F131" s="37">
        <v>6.0</v>
      </c>
      <c r="G131" s="33" t="s">
        <v>648</v>
      </c>
      <c r="H131" s="40" t="s">
        <v>649</v>
      </c>
      <c r="I131" s="24"/>
      <c r="J131" s="24"/>
      <c r="K131" s="24"/>
      <c r="L131" s="24"/>
      <c r="M131" s="24"/>
      <c r="N131" s="24"/>
      <c r="O131" s="24"/>
      <c r="P131" s="24"/>
      <c r="Q131" s="24"/>
      <c r="R131" s="24"/>
      <c r="S131" s="24"/>
      <c r="T131" s="24"/>
      <c r="U131" s="24"/>
      <c r="V131" s="24"/>
      <c r="W131" s="24"/>
      <c r="X131" s="24"/>
      <c r="Y131" s="24"/>
    </row>
    <row r="132">
      <c r="A132" s="33" t="s">
        <v>650</v>
      </c>
      <c r="B132" s="34" t="s">
        <v>651</v>
      </c>
      <c r="C132" s="33" t="s">
        <v>52</v>
      </c>
      <c r="D132" s="35" t="s">
        <v>652</v>
      </c>
      <c r="E132" s="36">
        <v>581.0</v>
      </c>
      <c r="F132" s="37">
        <v>48.0</v>
      </c>
      <c r="G132" s="33" t="s">
        <v>653</v>
      </c>
      <c r="H132" s="40" t="s">
        <v>649</v>
      </c>
      <c r="I132" s="24"/>
      <c r="J132" s="24"/>
      <c r="K132" s="24"/>
      <c r="L132" s="24"/>
      <c r="M132" s="24"/>
      <c r="N132" s="24"/>
      <c r="O132" s="24"/>
      <c r="P132" s="24"/>
      <c r="Q132" s="24"/>
      <c r="R132" s="24"/>
      <c r="S132" s="24"/>
      <c r="T132" s="24"/>
      <c r="U132" s="24"/>
      <c r="V132" s="24"/>
      <c r="W132" s="24"/>
      <c r="X132" s="24"/>
      <c r="Y132" s="24"/>
    </row>
    <row r="133">
      <c r="A133" s="33" t="s">
        <v>654</v>
      </c>
      <c r="B133" s="34" t="s">
        <v>655</v>
      </c>
      <c r="C133" s="33" t="s">
        <v>52</v>
      </c>
      <c r="D133" s="35" t="s">
        <v>656</v>
      </c>
      <c r="E133" s="36">
        <v>373.0</v>
      </c>
      <c r="F133" s="37">
        <v>5.0</v>
      </c>
      <c r="G133" s="33" t="s">
        <v>657</v>
      </c>
      <c r="H133" s="40" t="s">
        <v>658</v>
      </c>
      <c r="I133" s="24"/>
      <c r="J133" s="24"/>
      <c r="K133" s="24"/>
      <c r="L133" s="24"/>
      <c r="M133" s="24"/>
      <c r="N133" s="24"/>
      <c r="O133" s="24"/>
      <c r="P133" s="24"/>
      <c r="Q133" s="24"/>
      <c r="R133" s="24"/>
      <c r="S133" s="24"/>
      <c r="T133" s="24"/>
      <c r="U133" s="24"/>
      <c r="V133" s="24"/>
      <c r="W133" s="24"/>
      <c r="X133" s="24"/>
      <c r="Y133" s="24"/>
    </row>
    <row r="134">
      <c r="A134" s="33" t="s">
        <v>659</v>
      </c>
      <c r="B134" s="34" t="s">
        <v>660</v>
      </c>
      <c r="C134" s="33" t="s">
        <v>52</v>
      </c>
      <c r="D134" s="35" t="s">
        <v>661</v>
      </c>
      <c r="E134" s="36">
        <v>245.0</v>
      </c>
      <c r="F134" s="37">
        <v>2.0</v>
      </c>
      <c r="G134" s="33" t="s">
        <v>662</v>
      </c>
      <c r="H134" s="40" t="s">
        <v>663</v>
      </c>
      <c r="I134" s="24"/>
      <c r="J134" s="24"/>
      <c r="K134" s="24"/>
      <c r="L134" s="24"/>
      <c r="M134" s="24"/>
      <c r="N134" s="24"/>
      <c r="O134" s="24"/>
      <c r="P134" s="24"/>
      <c r="Q134" s="24"/>
      <c r="R134" s="24"/>
      <c r="S134" s="24"/>
      <c r="T134" s="24"/>
      <c r="U134" s="24"/>
      <c r="V134" s="24"/>
      <c r="W134" s="24"/>
      <c r="X134" s="24"/>
      <c r="Y134" s="24"/>
    </row>
    <row r="135">
      <c r="A135" s="33" t="s">
        <v>664</v>
      </c>
      <c r="B135" s="34" t="s">
        <v>665</v>
      </c>
      <c r="C135" s="33" t="s">
        <v>52</v>
      </c>
      <c r="D135" s="35" t="s">
        <v>666</v>
      </c>
      <c r="E135" s="36">
        <v>297.0</v>
      </c>
      <c r="F135" s="37">
        <v>8.0</v>
      </c>
      <c r="G135" s="33" t="s">
        <v>667</v>
      </c>
      <c r="H135" s="40" t="s">
        <v>668</v>
      </c>
      <c r="I135" s="24"/>
      <c r="J135" s="24"/>
      <c r="K135" s="24"/>
      <c r="L135" s="24"/>
      <c r="M135" s="24"/>
      <c r="N135" s="24"/>
      <c r="O135" s="24"/>
      <c r="P135" s="24"/>
      <c r="Q135" s="24"/>
      <c r="R135" s="24"/>
      <c r="S135" s="24"/>
      <c r="T135" s="24"/>
      <c r="U135" s="24"/>
      <c r="V135" s="24"/>
      <c r="W135" s="24"/>
      <c r="X135" s="24"/>
      <c r="Y135" s="24"/>
    </row>
    <row r="136">
      <c r="A136" s="41" t="s">
        <v>669</v>
      </c>
      <c r="B136" s="42" t="s">
        <v>670</v>
      </c>
      <c r="C136" s="41" t="s">
        <v>52</v>
      </c>
      <c r="D136" s="43" t="s">
        <v>671</v>
      </c>
      <c r="E136" s="44">
        <v>388.0</v>
      </c>
      <c r="F136" s="45">
        <v>15.0</v>
      </c>
      <c r="G136" s="41" t="s">
        <v>672</v>
      </c>
      <c r="H136" s="46" t="s">
        <v>673</v>
      </c>
      <c r="I136" s="24"/>
      <c r="J136" s="24"/>
      <c r="K136" s="24"/>
      <c r="L136" s="24"/>
      <c r="M136" s="24"/>
      <c r="N136" s="24"/>
      <c r="O136" s="24"/>
      <c r="P136" s="24"/>
      <c r="Q136" s="24"/>
      <c r="R136" s="24"/>
      <c r="S136" s="24"/>
      <c r="T136" s="24"/>
      <c r="U136" s="24"/>
      <c r="V136" s="24"/>
      <c r="W136" s="24"/>
      <c r="X136" s="24"/>
      <c r="Y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s>
  <drawing r:id="rId136"/>
  <tableParts count="2">
    <tablePart r:id="rId139"/>
    <tablePart r:id="rId14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3" t="s">
        <v>38</v>
      </c>
      <c r="B1" s="23" t="s">
        <v>674</v>
      </c>
      <c r="C1" s="23" t="s">
        <v>675</v>
      </c>
      <c r="D1" s="23" t="s">
        <v>676</v>
      </c>
      <c r="E1" s="23" t="s">
        <v>677</v>
      </c>
      <c r="F1" s="23" t="s">
        <v>678</v>
      </c>
      <c r="G1" s="23" t="s">
        <v>39</v>
      </c>
      <c r="H1" s="23" t="s">
        <v>679</v>
      </c>
    </row>
    <row r="2">
      <c r="A2" s="47" t="s">
        <v>680</v>
      </c>
      <c r="B2" s="35" t="s">
        <v>681</v>
      </c>
      <c r="C2" s="25" t="s">
        <v>682</v>
      </c>
      <c r="D2" s="37">
        <v>102.0</v>
      </c>
      <c r="E2" s="28">
        <v>2.0</v>
      </c>
      <c r="F2" s="37">
        <v>0.0</v>
      </c>
      <c r="G2" s="25" t="s">
        <v>683</v>
      </c>
      <c r="H2" s="40" t="s">
        <v>684</v>
      </c>
    </row>
    <row r="3">
      <c r="A3" s="48" t="s">
        <v>685</v>
      </c>
      <c r="B3" s="35" t="s">
        <v>686</v>
      </c>
      <c r="C3" s="33" t="s">
        <v>687</v>
      </c>
      <c r="D3" s="37">
        <v>150.0</v>
      </c>
      <c r="E3" s="36">
        <v>1.0</v>
      </c>
      <c r="F3" s="37">
        <v>0.0</v>
      </c>
      <c r="G3" s="33" t="s">
        <v>688</v>
      </c>
      <c r="H3" s="40" t="s">
        <v>689</v>
      </c>
    </row>
    <row r="4">
      <c r="A4" s="48" t="s">
        <v>690</v>
      </c>
      <c r="B4" s="35" t="s">
        <v>691</v>
      </c>
      <c r="C4" s="33" t="s">
        <v>692</v>
      </c>
      <c r="D4" s="37">
        <v>83.0</v>
      </c>
      <c r="E4" s="36">
        <v>0.0</v>
      </c>
      <c r="F4" s="37">
        <v>0.0</v>
      </c>
      <c r="G4" s="33" t="s">
        <v>688</v>
      </c>
      <c r="H4" s="40" t="s">
        <v>689</v>
      </c>
    </row>
    <row r="5">
      <c r="A5" s="48" t="s">
        <v>693</v>
      </c>
      <c r="B5" s="35" t="s">
        <v>694</v>
      </c>
      <c r="C5" s="33" t="s">
        <v>695</v>
      </c>
      <c r="D5" s="37">
        <v>177.0</v>
      </c>
      <c r="E5" s="36">
        <v>1.0</v>
      </c>
      <c r="F5" s="37">
        <v>3.0</v>
      </c>
      <c r="G5" s="33" t="s">
        <v>683</v>
      </c>
      <c r="H5" s="40" t="s">
        <v>696</v>
      </c>
    </row>
    <row r="6">
      <c r="A6" s="48" t="s">
        <v>697</v>
      </c>
      <c r="B6" s="35" t="s">
        <v>698</v>
      </c>
      <c r="C6" s="33" t="s">
        <v>699</v>
      </c>
      <c r="D6" s="37">
        <v>118.0</v>
      </c>
      <c r="E6" s="36">
        <v>1.0</v>
      </c>
      <c r="F6" s="37">
        <v>1.0</v>
      </c>
      <c r="G6" s="33" t="s">
        <v>683</v>
      </c>
      <c r="H6" s="40" t="s">
        <v>700</v>
      </c>
    </row>
    <row r="7">
      <c r="A7" s="48" t="s">
        <v>701</v>
      </c>
      <c r="B7" s="35" t="s">
        <v>702</v>
      </c>
      <c r="C7" s="33" t="s">
        <v>703</v>
      </c>
      <c r="D7" s="37">
        <v>61.0</v>
      </c>
      <c r="E7" s="36">
        <v>0.0</v>
      </c>
      <c r="F7" s="37">
        <v>1.0</v>
      </c>
      <c r="G7" s="33" t="s">
        <v>683</v>
      </c>
      <c r="H7" s="40" t="s">
        <v>700</v>
      </c>
    </row>
    <row r="8">
      <c r="A8" s="48" t="s">
        <v>704</v>
      </c>
      <c r="B8" s="35" t="s">
        <v>705</v>
      </c>
      <c r="C8" s="33" t="s">
        <v>706</v>
      </c>
      <c r="D8" s="37">
        <v>85.0</v>
      </c>
      <c r="E8" s="36">
        <v>0.0</v>
      </c>
      <c r="F8" s="37">
        <v>1.0</v>
      </c>
      <c r="G8" s="33" t="s">
        <v>683</v>
      </c>
      <c r="H8" s="40" t="s">
        <v>707</v>
      </c>
    </row>
    <row r="9">
      <c r="A9" s="48" t="s">
        <v>708</v>
      </c>
      <c r="B9" s="35" t="s">
        <v>709</v>
      </c>
      <c r="C9" s="33" t="s">
        <v>710</v>
      </c>
      <c r="D9" s="37">
        <v>78.0</v>
      </c>
      <c r="E9" s="36">
        <v>0.0</v>
      </c>
      <c r="F9" s="37">
        <v>1.0</v>
      </c>
      <c r="G9" s="33" t="s">
        <v>683</v>
      </c>
      <c r="H9" s="40" t="s">
        <v>707</v>
      </c>
    </row>
    <row r="10">
      <c r="A10" s="48" t="s">
        <v>711</v>
      </c>
      <c r="B10" s="35" t="s">
        <v>712</v>
      </c>
      <c r="C10" s="33" t="s">
        <v>713</v>
      </c>
      <c r="D10" s="37">
        <v>121.0</v>
      </c>
      <c r="E10" s="36">
        <v>1.0</v>
      </c>
      <c r="F10" s="37">
        <v>1.0</v>
      </c>
      <c r="G10" s="33" t="s">
        <v>683</v>
      </c>
      <c r="H10" s="40" t="s">
        <v>714</v>
      </c>
    </row>
    <row r="11">
      <c r="A11" s="48" t="s">
        <v>715</v>
      </c>
      <c r="B11" s="35" t="s">
        <v>716</v>
      </c>
      <c r="C11" s="33" t="s">
        <v>717</v>
      </c>
      <c r="D11" s="37">
        <v>73.0</v>
      </c>
      <c r="E11" s="36">
        <v>0.0</v>
      </c>
      <c r="F11" s="37">
        <v>1.0</v>
      </c>
      <c r="G11" s="33" t="s">
        <v>683</v>
      </c>
      <c r="H11" s="40" t="s">
        <v>718</v>
      </c>
    </row>
    <row r="12">
      <c r="A12" s="48" t="s">
        <v>719</v>
      </c>
      <c r="B12" s="35" t="s">
        <v>720</v>
      </c>
      <c r="C12" s="33" t="s">
        <v>721</v>
      </c>
      <c r="D12" s="37">
        <v>129.0</v>
      </c>
      <c r="E12" s="36">
        <v>1.0</v>
      </c>
      <c r="F12" s="37">
        <v>0.0</v>
      </c>
      <c r="G12" s="33" t="s">
        <v>683</v>
      </c>
      <c r="H12" s="40" t="s">
        <v>722</v>
      </c>
    </row>
    <row r="13">
      <c r="A13" s="48" t="s">
        <v>723</v>
      </c>
      <c r="B13" s="35" t="s">
        <v>724</v>
      </c>
      <c r="C13" s="33" t="s">
        <v>725</v>
      </c>
      <c r="D13" s="37">
        <v>138.0</v>
      </c>
      <c r="E13" s="36">
        <v>1.0</v>
      </c>
      <c r="F13" s="37">
        <v>1.0</v>
      </c>
      <c r="G13" s="33" t="s">
        <v>683</v>
      </c>
      <c r="H13" s="40" t="s">
        <v>726</v>
      </c>
    </row>
    <row r="14">
      <c r="A14" s="48" t="s">
        <v>727</v>
      </c>
      <c r="B14" s="35" t="s">
        <v>728</v>
      </c>
      <c r="C14" s="33" t="s">
        <v>729</v>
      </c>
      <c r="D14" s="37">
        <v>130.0</v>
      </c>
      <c r="E14" s="36">
        <v>2.0</v>
      </c>
      <c r="F14" s="37">
        <v>1.0</v>
      </c>
      <c r="G14" s="33" t="s">
        <v>683</v>
      </c>
      <c r="H14" s="40" t="s">
        <v>730</v>
      </c>
    </row>
    <row r="15">
      <c r="A15" s="48" t="s">
        <v>731</v>
      </c>
      <c r="B15" s="35" t="s">
        <v>732</v>
      </c>
      <c r="C15" s="33" t="s">
        <v>733</v>
      </c>
      <c r="D15" s="37">
        <v>154.0</v>
      </c>
      <c r="E15" s="36">
        <v>0.0</v>
      </c>
      <c r="F15" s="37">
        <v>2.0</v>
      </c>
      <c r="G15" s="33" t="s">
        <v>688</v>
      </c>
      <c r="H15" s="40" t="s">
        <v>689</v>
      </c>
    </row>
    <row r="16">
      <c r="A16" s="48" t="s">
        <v>734</v>
      </c>
      <c r="B16" s="35" t="s">
        <v>735</v>
      </c>
      <c r="C16" s="33" t="s">
        <v>736</v>
      </c>
      <c r="D16" s="37">
        <v>180.0</v>
      </c>
      <c r="E16" s="36">
        <v>6.0</v>
      </c>
      <c r="F16" s="37">
        <v>11.0</v>
      </c>
      <c r="G16" s="33" t="s">
        <v>688</v>
      </c>
      <c r="H16" s="40" t="s">
        <v>689</v>
      </c>
    </row>
    <row r="17">
      <c r="A17" s="48" t="s">
        <v>737</v>
      </c>
      <c r="B17" s="35" t="s">
        <v>738</v>
      </c>
      <c r="C17" s="33" t="s">
        <v>739</v>
      </c>
      <c r="D17" s="37">
        <v>324.0</v>
      </c>
      <c r="E17" s="36">
        <v>20.0</v>
      </c>
      <c r="F17" s="37">
        <v>14.0</v>
      </c>
      <c r="G17" s="33" t="s">
        <v>688</v>
      </c>
      <c r="H17" s="40" t="s">
        <v>689</v>
      </c>
    </row>
    <row r="18">
      <c r="A18" s="48" t="s">
        <v>740</v>
      </c>
      <c r="B18" s="35" t="s">
        <v>741</v>
      </c>
      <c r="C18" s="33" t="s">
        <v>742</v>
      </c>
      <c r="D18" s="37">
        <v>164.0</v>
      </c>
      <c r="E18" s="36">
        <v>0.0</v>
      </c>
      <c r="F18" s="37">
        <v>2.0</v>
      </c>
      <c r="G18" s="33" t="s">
        <v>688</v>
      </c>
      <c r="H18" s="40" t="s">
        <v>689</v>
      </c>
    </row>
    <row r="19">
      <c r="A19" s="48" t="s">
        <v>743</v>
      </c>
      <c r="B19" s="35" t="s">
        <v>744</v>
      </c>
      <c r="C19" s="33" t="s">
        <v>745</v>
      </c>
      <c r="D19" s="37">
        <v>142.0</v>
      </c>
      <c r="E19" s="36">
        <v>3.0</v>
      </c>
      <c r="F19" s="37">
        <v>8.0</v>
      </c>
      <c r="G19" s="33" t="s">
        <v>688</v>
      </c>
      <c r="H19" s="40" t="s">
        <v>689</v>
      </c>
    </row>
    <row r="20">
      <c r="A20" s="48" t="s">
        <v>746</v>
      </c>
      <c r="B20" s="35" t="s">
        <v>747</v>
      </c>
      <c r="C20" s="33" t="s">
        <v>748</v>
      </c>
      <c r="D20" s="37">
        <v>150.0</v>
      </c>
      <c r="E20" s="36">
        <v>0.0</v>
      </c>
      <c r="F20" s="37">
        <v>5.0</v>
      </c>
      <c r="G20" s="33" t="s">
        <v>688</v>
      </c>
      <c r="H20" s="40" t="s">
        <v>689</v>
      </c>
    </row>
    <row r="21">
      <c r="A21" s="48" t="s">
        <v>749</v>
      </c>
      <c r="B21" s="35" t="s">
        <v>750</v>
      </c>
      <c r="C21" s="33" t="s">
        <v>751</v>
      </c>
      <c r="D21" s="37">
        <v>110.0</v>
      </c>
      <c r="E21" s="36">
        <v>0.0</v>
      </c>
      <c r="F21" s="37">
        <v>0.0</v>
      </c>
      <c r="G21" s="33" t="s">
        <v>683</v>
      </c>
      <c r="H21" s="40" t="s">
        <v>752</v>
      </c>
    </row>
    <row r="22">
      <c r="A22" s="48" t="s">
        <v>753</v>
      </c>
      <c r="B22" s="35" t="s">
        <v>754</v>
      </c>
      <c r="C22" s="33" t="s">
        <v>755</v>
      </c>
      <c r="D22" s="37">
        <v>116.0</v>
      </c>
      <c r="E22" s="36">
        <v>1.0</v>
      </c>
      <c r="F22" s="37">
        <v>2.0</v>
      </c>
      <c r="G22" s="33" t="s">
        <v>683</v>
      </c>
      <c r="H22" s="40" t="s">
        <v>756</v>
      </c>
    </row>
    <row r="23">
      <c r="A23" s="48" t="s">
        <v>757</v>
      </c>
      <c r="B23" s="35" t="s">
        <v>758</v>
      </c>
      <c r="C23" s="33" t="s">
        <v>759</v>
      </c>
      <c r="D23" s="37">
        <v>117.0</v>
      </c>
      <c r="E23" s="36">
        <v>2.0</v>
      </c>
      <c r="F23" s="37">
        <v>0.0</v>
      </c>
      <c r="G23" s="33" t="s">
        <v>683</v>
      </c>
      <c r="H23" s="40" t="s">
        <v>760</v>
      </c>
    </row>
    <row r="24">
      <c r="A24" s="48" t="s">
        <v>761</v>
      </c>
      <c r="B24" s="35" t="s">
        <v>762</v>
      </c>
      <c r="C24" s="33" t="s">
        <v>763</v>
      </c>
      <c r="D24" s="37">
        <v>71.0</v>
      </c>
      <c r="E24" s="36">
        <v>0.0</v>
      </c>
      <c r="F24" s="37">
        <v>1.0</v>
      </c>
      <c r="G24" s="33" t="s">
        <v>683</v>
      </c>
      <c r="H24" s="40" t="s">
        <v>764</v>
      </c>
    </row>
    <row r="25">
      <c r="A25" s="48" t="s">
        <v>765</v>
      </c>
      <c r="B25" s="35" t="s">
        <v>766</v>
      </c>
      <c r="C25" s="33" t="s">
        <v>767</v>
      </c>
      <c r="D25" s="37">
        <v>60.0</v>
      </c>
      <c r="E25" s="36">
        <v>1.0</v>
      </c>
      <c r="F25" s="37">
        <v>2.0</v>
      </c>
      <c r="G25" s="33" t="s">
        <v>688</v>
      </c>
      <c r="H25" s="40" t="s">
        <v>689</v>
      </c>
    </row>
    <row r="26">
      <c r="A26" s="48" t="s">
        <v>768</v>
      </c>
      <c r="B26" s="35" t="s">
        <v>769</v>
      </c>
      <c r="C26" s="33" t="s">
        <v>770</v>
      </c>
      <c r="D26" s="37">
        <v>90.0</v>
      </c>
      <c r="E26" s="36">
        <v>0.0</v>
      </c>
      <c r="F26" s="37">
        <v>0.0</v>
      </c>
      <c r="G26" s="33" t="s">
        <v>688</v>
      </c>
      <c r="H26" s="40" t="s">
        <v>689</v>
      </c>
    </row>
    <row r="27">
      <c r="A27" s="48" t="s">
        <v>771</v>
      </c>
      <c r="B27" s="35" t="s">
        <v>772</v>
      </c>
      <c r="C27" s="33" t="s">
        <v>773</v>
      </c>
      <c r="D27" s="37">
        <v>35.0</v>
      </c>
      <c r="E27" s="36">
        <v>0.0</v>
      </c>
      <c r="F27" s="37">
        <v>0.0</v>
      </c>
      <c r="G27" s="33" t="s">
        <v>674</v>
      </c>
      <c r="H27" s="40" t="s">
        <v>689</v>
      </c>
    </row>
    <row r="28">
      <c r="A28" s="48" t="s">
        <v>774</v>
      </c>
      <c r="B28" s="35" t="s">
        <v>58</v>
      </c>
      <c r="C28" s="33" t="s">
        <v>775</v>
      </c>
      <c r="D28" s="37">
        <v>185.0</v>
      </c>
      <c r="E28" s="36">
        <v>3.0</v>
      </c>
      <c r="F28" s="37">
        <v>1.0</v>
      </c>
      <c r="G28" s="33" t="s">
        <v>688</v>
      </c>
      <c r="H28" s="40" t="s">
        <v>689</v>
      </c>
    </row>
    <row r="29">
      <c r="A29" s="48" t="s">
        <v>776</v>
      </c>
      <c r="B29" s="35" t="s">
        <v>777</v>
      </c>
      <c r="C29" s="33" t="s">
        <v>778</v>
      </c>
      <c r="D29" s="37">
        <v>38.0</v>
      </c>
      <c r="E29" s="36">
        <v>0.0</v>
      </c>
      <c r="F29" s="37">
        <v>0.0</v>
      </c>
      <c r="G29" s="33" t="s">
        <v>674</v>
      </c>
      <c r="H29" s="40" t="s">
        <v>689</v>
      </c>
    </row>
    <row r="30">
      <c r="A30" s="48" t="s">
        <v>779</v>
      </c>
      <c r="B30" s="35" t="s">
        <v>780</v>
      </c>
      <c r="C30" s="33" t="s">
        <v>781</v>
      </c>
      <c r="D30" s="37">
        <v>229.0</v>
      </c>
      <c r="E30" s="36">
        <v>0.0</v>
      </c>
      <c r="F30" s="37">
        <v>2.0</v>
      </c>
      <c r="G30" s="33" t="s">
        <v>688</v>
      </c>
      <c r="H30" s="40" t="s">
        <v>689</v>
      </c>
    </row>
    <row r="31">
      <c r="A31" s="48" t="s">
        <v>782</v>
      </c>
      <c r="B31" s="35" t="s">
        <v>111</v>
      </c>
      <c r="C31" s="33" t="s">
        <v>783</v>
      </c>
      <c r="D31" s="37">
        <v>192.0</v>
      </c>
      <c r="E31" s="36">
        <v>0.0</v>
      </c>
      <c r="F31" s="37">
        <v>0.0</v>
      </c>
      <c r="G31" s="33" t="s">
        <v>688</v>
      </c>
      <c r="H31" s="40" t="s">
        <v>689</v>
      </c>
    </row>
    <row r="32">
      <c r="A32" s="48" t="s">
        <v>784</v>
      </c>
      <c r="B32" s="35" t="s">
        <v>102</v>
      </c>
      <c r="C32" s="33" t="s">
        <v>785</v>
      </c>
      <c r="D32" s="37">
        <v>379.0</v>
      </c>
      <c r="E32" s="36">
        <v>2.0</v>
      </c>
      <c r="F32" s="37">
        <v>1.0</v>
      </c>
      <c r="G32" s="33" t="s">
        <v>688</v>
      </c>
      <c r="H32" s="40" t="s">
        <v>689</v>
      </c>
    </row>
    <row r="33">
      <c r="A33" s="48" t="s">
        <v>786</v>
      </c>
      <c r="B33" s="35" t="s">
        <v>787</v>
      </c>
      <c r="C33" s="33" t="s">
        <v>788</v>
      </c>
      <c r="D33" s="37">
        <v>37.0</v>
      </c>
      <c r="E33" s="36">
        <v>0.0</v>
      </c>
      <c r="F33" s="37">
        <v>0.0</v>
      </c>
      <c r="G33" s="33" t="s">
        <v>674</v>
      </c>
      <c r="H33" s="40" t="s">
        <v>689</v>
      </c>
    </row>
    <row r="34">
      <c r="A34" s="48" t="s">
        <v>789</v>
      </c>
      <c r="B34" s="35" t="s">
        <v>186</v>
      </c>
      <c r="C34" s="33" t="s">
        <v>790</v>
      </c>
      <c r="D34" s="37">
        <v>244.0</v>
      </c>
      <c r="E34" s="36">
        <v>2.0</v>
      </c>
      <c r="F34" s="37">
        <v>0.0</v>
      </c>
      <c r="G34" s="33" t="s">
        <v>688</v>
      </c>
      <c r="H34" s="40" t="s">
        <v>689</v>
      </c>
    </row>
    <row r="35">
      <c r="A35" s="48" t="s">
        <v>791</v>
      </c>
      <c r="B35" s="35" t="s">
        <v>792</v>
      </c>
      <c r="C35" s="33" t="s">
        <v>793</v>
      </c>
      <c r="D35" s="37">
        <v>45.0</v>
      </c>
      <c r="E35" s="36">
        <v>0.0</v>
      </c>
      <c r="F35" s="37">
        <v>0.0</v>
      </c>
      <c r="G35" s="33" t="s">
        <v>688</v>
      </c>
      <c r="H35" s="40" t="s">
        <v>689</v>
      </c>
    </row>
    <row r="36">
      <c r="A36" s="48" t="s">
        <v>794</v>
      </c>
      <c r="B36" s="35" t="s">
        <v>795</v>
      </c>
      <c r="C36" s="33" t="s">
        <v>796</v>
      </c>
      <c r="D36" s="37">
        <v>90.0</v>
      </c>
      <c r="E36" s="36">
        <v>0.0</v>
      </c>
      <c r="F36" s="37">
        <v>0.0</v>
      </c>
      <c r="G36" s="33" t="s">
        <v>688</v>
      </c>
      <c r="H36" s="40" t="s">
        <v>689</v>
      </c>
    </row>
    <row r="37">
      <c r="A37" s="48" t="s">
        <v>797</v>
      </c>
      <c r="B37" s="35" t="s">
        <v>798</v>
      </c>
      <c r="C37" s="33" t="s">
        <v>799</v>
      </c>
      <c r="D37" s="37">
        <v>82.0</v>
      </c>
      <c r="E37" s="36">
        <v>2.0</v>
      </c>
      <c r="F37" s="37">
        <v>2.0</v>
      </c>
      <c r="G37" s="33" t="s">
        <v>688</v>
      </c>
      <c r="H37" s="40" t="s">
        <v>689</v>
      </c>
    </row>
    <row r="38">
      <c r="A38" s="48" t="s">
        <v>800</v>
      </c>
      <c r="B38" s="35" t="s">
        <v>801</v>
      </c>
      <c r="C38" s="33" t="s">
        <v>802</v>
      </c>
      <c r="D38" s="37">
        <v>114.0</v>
      </c>
      <c r="E38" s="36">
        <v>4.0</v>
      </c>
      <c r="F38" s="37">
        <v>7.0</v>
      </c>
      <c r="G38" s="33" t="s">
        <v>688</v>
      </c>
      <c r="H38" s="40" t="s">
        <v>689</v>
      </c>
    </row>
    <row r="39">
      <c r="A39" s="48" t="s">
        <v>803</v>
      </c>
      <c r="B39" s="35" t="s">
        <v>804</v>
      </c>
      <c r="C39" s="33" t="s">
        <v>805</v>
      </c>
      <c r="D39" s="37">
        <v>141.0</v>
      </c>
      <c r="E39" s="36">
        <v>1.0</v>
      </c>
      <c r="F39" s="37">
        <v>1.0</v>
      </c>
      <c r="G39" s="33" t="s">
        <v>688</v>
      </c>
      <c r="H39" s="40" t="s">
        <v>689</v>
      </c>
    </row>
    <row r="40">
      <c r="A40" s="48" t="s">
        <v>806</v>
      </c>
      <c r="B40" s="35" t="s">
        <v>807</v>
      </c>
      <c r="C40" s="33" t="s">
        <v>808</v>
      </c>
      <c r="D40" s="37">
        <v>94.0</v>
      </c>
      <c r="E40" s="36">
        <v>0.0</v>
      </c>
      <c r="F40" s="37">
        <v>0.0</v>
      </c>
      <c r="G40" s="33" t="s">
        <v>683</v>
      </c>
      <c r="H40" s="40" t="s">
        <v>809</v>
      </c>
    </row>
    <row r="41">
      <c r="A41" s="48" t="s">
        <v>810</v>
      </c>
      <c r="B41" s="35" t="s">
        <v>811</v>
      </c>
      <c r="C41" s="33" t="s">
        <v>812</v>
      </c>
      <c r="D41" s="37">
        <v>92.0</v>
      </c>
      <c r="E41" s="36">
        <v>0.0</v>
      </c>
      <c r="F41" s="37">
        <v>2.0</v>
      </c>
      <c r="G41" s="33" t="s">
        <v>688</v>
      </c>
      <c r="H41" s="40" t="s">
        <v>689</v>
      </c>
    </row>
    <row r="42">
      <c r="A42" s="48" t="s">
        <v>813</v>
      </c>
      <c r="B42" s="35" t="s">
        <v>814</v>
      </c>
      <c r="C42" s="33" t="s">
        <v>815</v>
      </c>
      <c r="D42" s="37">
        <v>223.0</v>
      </c>
      <c r="E42" s="36">
        <v>0.0</v>
      </c>
      <c r="F42" s="37">
        <v>0.0</v>
      </c>
      <c r="G42" s="33" t="s">
        <v>688</v>
      </c>
      <c r="H42" s="40" t="s">
        <v>689</v>
      </c>
    </row>
    <row r="43">
      <c r="A43" s="48" t="s">
        <v>816</v>
      </c>
      <c r="B43" s="35" t="s">
        <v>817</v>
      </c>
      <c r="C43" s="33" t="s">
        <v>818</v>
      </c>
      <c r="D43" s="37">
        <v>66.0</v>
      </c>
      <c r="E43" s="36">
        <v>0.0</v>
      </c>
      <c r="F43" s="37">
        <v>2.0</v>
      </c>
      <c r="G43" s="33" t="s">
        <v>688</v>
      </c>
      <c r="H43" s="40" t="s">
        <v>689</v>
      </c>
    </row>
    <row r="44">
      <c r="A44" s="48" t="s">
        <v>819</v>
      </c>
      <c r="B44" s="35" t="s">
        <v>820</v>
      </c>
      <c r="C44" s="33" t="s">
        <v>821</v>
      </c>
      <c r="D44" s="37">
        <v>96.0</v>
      </c>
      <c r="E44" s="36">
        <v>2.0</v>
      </c>
      <c r="F44" s="37">
        <v>0.0</v>
      </c>
      <c r="G44" s="33" t="s">
        <v>688</v>
      </c>
      <c r="H44" s="40" t="s">
        <v>689</v>
      </c>
    </row>
    <row r="45">
      <c r="A45" s="48" t="s">
        <v>822</v>
      </c>
      <c r="B45" s="35" t="s">
        <v>823</v>
      </c>
      <c r="C45" s="33" t="s">
        <v>824</v>
      </c>
      <c r="D45" s="37">
        <v>103.0</v>
      </c>
      <c r="E45" s="36">
        <v>5.0</v>
      </c>
      <c r="F45" s="37">
        <v>5.0</v>
      </c>
      <c r="G45" s="33" t="s">
        <v>688</v>
      </c>
      <c r="H45" s="40" t="s">
        <v>689</v>
      </c>
    </row>
    <row r="46">
      <c r="A46" s="48" t="s">
        <v>825</v>
      </c>
      <c r="B46" s="35" t="s">
        <v>826</v>
      </c>
      <c r="C46" s="33" t="s">
        <v>827</v>
      </c>
      <c r="D46" s="37">
        <v>50.0</v>
      </c>
      <c r="E46" s="36">
        <v>0.0</v>
      </c>
      <c r="F46" s="37">
        <v>8.0</v>
      </c>
      <c r="G46" s="33" t="s">
        <v>688</v>
      </c>
      <c r="H46" s="40" t="s">
        <v>689</v>
      </c>
    </row>
    <row r="47">
      <c r="A47" s="48" t="s">
        <v>828</v>
      </c>
      <c r="B47" s="35" t="s">
        <v>829</v>
      </c>
      <c r="C47" s="33" t="s">
        <v>830</v>
      </c>
      <c r="D47" s="37">
        <v>112.0</v>
      </c>
      <c r="E47" s="36">
        <v>3.0</v>
      </c>
      <c r="F47" s="37">
        <v>5.0</v>
      </c>
      <c r="G47" s="33" t="s">
        <v>688</v>
      </c>
      <c r="H47" s="40" t="s">
        <v>689</v>
      </c>
    </row>
    <row r="48">
      <c r="A48" s="48" t="s">
        <v>831</v>
      </c>
      <c r="B48" s="35" t="s">
        <v>832</v>
      </c>
      <c r="C48" s="33" t="s">
        <v>833</v>
      </c>
      <c r="D48" s="37">
        <v>69.0</v>
      </c>
      <c r="E48" s="36">
        <v>2.0</v>
      </c>
      <c r="F48" s="37">
        <v>3.0</v>
      </c>
      <c r="G48" s="33" t="s">
        <v>688</v>
      </c>
      <c r="H48" s="40" t="s">
        <v>689</v>
      </c>
    </row>
    <row r="49">
      <c r="A49" s="48" t="s">
        <v>834</v>
      </c>
      <c r="B49" s="35" t="s">
        <v>835</v>
      </c>
      <c r="C49" s="33" t="s">
        <v>836</v>
      </c>
      <c r="D49" s="37">
        <v>29.0</v>
      </c>
      <c r="E49" s="36">
        <v>0.0</v>
      </c>
      <c r="F49" s="37">
        <v>0.0</v>
      </c>
      <c r="G49" s="33" t="s">
        <v>674</v>
      </c>
      <c r="H49" s="40" t="s">
        <v>689</v>
      </c>
    </row>
    <row r="50">
      <c r="A50" s="48" t="s">
        <v>837</v>
      </c>
      <c r="B50" s="35" t="s">
        <v>838</v>
      </c>
      <c r="C50" s="33" t="s">
        <v>839</v>
      </c>
      <c r="D50" s="37">
        <v>33.0</v>
      </c>
      <c r="E50" s="36">
        <v>1.0</v>
      </c>
      <c r="F50" s="37">
        <v>2.0</v>
      </c>
      <c r="G50" s="33" t="s">
        <v>674</v>
      </c>
      <c r="H50" s="40" t="s">
        <v>689</v>
      </c>
    </row>
    <row r="51">
      <c r="A51" s="48" t="s">
        <v>840</v>
      </c>
      <c r="B51" s="35" t="s">
        <v>841</v>
      </c>
      <c r="C51" s="33" t="s">
        <v>842</v>
      </c>
      <c r="D51" s="37">
        <v>147.0</v>
      </c>
      <c r="E51" s="36">
        <v>0.0</v>
      </c>
      <c r="F51" s="37">
        <v>1.0</v>
      </c>
      <c r="G51" s="33" t="s">
        <v>683</v>
      </c>
      <c r="H51" s="40" t="s">
        <v>843</v>
      </c>
    </row>
    <row r="52">
      <c r="A52" s="48" t="s">
        <v>844</v>
      </c>
      <c r="B52" s="35" t="s">
        <v>845</v>
      </c>
      <c r="C52" s="33" t="s">
        <v>846</v>
      </c>
      <c r="D52" s="37">
        <v>93.0</v>
      </c>
      <c r="E52" s="36">
        <v>0.0</v>
      </c>
      <c r="F52" s="37">
        <v>3.0</v>
      </c>
      <c r="G52" s="33" t="s">
        <v>683</v>
      </c>
      <c r="H52" s="40" t="s">
        <v>847</v>
      </c>
    </row>
    <row r="53">
      <c r="A53" s="48" t="s">
        <v>848</v>
      </c>
      <c r="B53" s="35" t="s">
        <v>849</v>
      </c>
      <c r="C53" s="33" t="s">
        <v>850</v>
      </c>
      <c r="D53" s="37">
        <v>144.0</v>
      </c>
      <c r="E53" s="36">
        <v>0.0</v>
      </c>
      <c r="F53" s="37">
        <v>1.0</v>
      </c>
      <c r="G53" s="33" t="s">
        <v>683</v>
      </c>
      <c r="H53" s="40" t="s">
        <v>851</v>
      </c>
    </row>
    <row r="54">
      <c r="A54" s="49" t="s">
        <v>852</v>
      </c>
      <c r="B54" s="43" t="s">
        <v>853</v>
      </c>
      <c r="C54" s="41" t="s">
        <v>854</v>
      </c>
      <c r="D54" s="45">
        <v>133.0</v>
      </c>
      <c r="E54" s="44">
        <v>3.0</v>
      </c>
      <c r="F54" s="45">
        <v>8.0</v>
      </c>
      <c r="G54" s="41" t="s">
        <v>688</v>
      </c>
      <c r="H54" s="46" t="s">
        <v>689</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s>
  <drawing r:id="rId54"/>
  <tableParts count="1">
    <tablePart r:id="rId5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0" t="s">
        <v>38</v>
      </c>
      <c r="B1" s="50" t="s">
        <v>855</v>
      </c>
      <c r="C1" s="50" t="s">
        <v>856</v>
      </c>
      <c r="D1" s="50" t="s">
        <v>674</v>
      </c>
      <c r="E1" s="50" t="s">
        <v>857</v>
      </c>
      <c r="F1" s="50" t="s">
        <v>858</v>
      </c>
      <c r="G1" s="50" t="s">
        <v>859</v>
      </c>
      <c r="H1" s="50" t="s">
        <v>860</v>
      </c>
      <c r="I1" s="50" t="s">
        <v>861</v>
      </c>
      <c r="J1" s="50" t="s">
        <v>862</v>
      </c>
      <c r="K1" s="50" t="s">
        <v>863</v>
      </c>
      <c r="L1" s="50" t="s">
        <v>864</v>
      </c>
      <c r="M1" s="50" t="s">
        <v>44</v>
      </c>
      <c r="N1" s="51" t="s">
        <v>865</v>
      </c>
    </row>
    <row r="2">
      <c r="A2" s="52" t="s">
        <v>866</v>
      </c>
      <c r="B2" s="48" t="s">
        <v>867</v>
      </c>
      <c r="C2" s="35" t="s">
        <v>868</v>
      </c>
      <c r="D2" s="33" t="s">
        <v>869</v>
      </c>
      <c r="E2" s="35" t="s">
        <v>870</v>
      </c>
      <c r="F2" s="36">
        <v>3.0</v>
      </c>
      <c r="G2" s="37">
        <v>0.0</v>
      </c>
      <c r="H2" s="36">
        <v>0.0</v>
      </c>
      <c r="I2" s="36">
        <v>0.0</v>
      </c>
      <c r="J2" s="37">
        <v>317.0</v>
      </c>
      <c r="K2" s="36">
        <v>0.0</v>
      </c>
      <c r="L2" s="53" t="b">
        <v>0</v>
      </c>
      <c r="M2" s="54"/>
      <c r="N2" s="55">
        <f t="shared" ref="N2:N181" si="1">H2+I2</f>
        <v>0</v>
      </c>
    </row>
    <row r="3">
      <c r="A3" s="52" t="s">
        <v>871</v>
      </c>
      <c r="B3" s="48" t="s">
        <v>872</v>
      </c>
      <c r="C3" s="35" t="s">
        <v>873</v>
      </c>
      <c r="D3" s="33" t="s">
        <v>874</v>
      </c>
      <c r="E3" s="35" t="s">
        <v>870</v>
      </c>
      <c r="F3" s="36">
        <v>0.0</v>
      </c>
      <c r="G3" s="37">
        <v>0.0</v>
      </c>
      <c r="H3" s="36">
        <v>0.0</v>
      </c>
      <c r="I3" s="36">
        <v>0.0</v>
      </c>
      <c r="J3" s="37">
        <v>251.0</v>
      </c>
      <c r="K3" s="36">
        <v>0.0</v>
      </c>
      <c r="L3" s="53" t="b">
        <v>0</v>
      </c>
      <c r="M3" s="54"/>
      <c r="N3" s="55">
        <f t="shared" si="1"/>
        <v>0</v>
      </c>
    </row>
    <row r="4">
      <c r="A4" s="52" t="s">
        <v>875</v>
      </c>
      <c r="B4" s="48" t="s">
        <v>876</v>
      </c>
      <c r="C4" s="35" t="s">
        <v>877</v>
      </c>
      <c r="D4" s="33" t="s">
        <v>878</v>
      </c>
      <c r="E4" s="35" t="s">
        <v>870</v>
      </c>
      <c r="F4" s="36">
        <v>1.0</v>
      </c>
      <c r="G4" s="37">
        <v>0.0</v>
      </c>
      <c r="H4" s="36">
        <v>0.0</v>
      </c>
      <c r="I4" s="36">
        <v>0.0</v>
      </c>
      <c r="J4" s="37">
        <v>224.0</v>
      </c>
      <c r="K4" s="36">
        <v>0.0</v>
      </c>
      <c r="L4" s="53" t="b">
        <v>0</v>
      </c>
      <c r="M4" s="33" t="s">
        <v>879</v>
      </c>
      <c r="N4" s="55">
        <f t="shared" si="1"/>
        <v>0</v>
      </c>
    </row>
    <row r="5">
      <c r="A5" s="52" t="s">
        <v>880</v>
      </c>
      <c r="B5" s="48" t="s">
        <v>881</v>
      </c>
      <c r="C5" s="35" t="s">
        <v>882</v>
      </c>
      <c r="D5" s="33" t="s">
        <v>883</v>
      </c>
      <c r="E5" s="35" t="s">
        <v>870</v>
      </c>
      <c r="F5" s="36">
        <v>1.0</v>
      </c>
      <c r="G5" s="37">
        <v>0.0</v>
      </c>
      <c r="H5" s="36">
        <v>0.0</v>
      </c>
      <c r="I5" s="36">
        <v>0.0</v>
      </c>
      <c r="J5" s="37">
        <v>169.0</v>
      </c>
      <c r="K5" s="36">
        <v>0.0</v>
      </c>
      <c r="L5" s="53" t="b">
        <v>0</v>
      </c>
      <c r="M5" s="33" t="s">
        <v>884</v>
      </c>
      <c r="N5" s="55">
        <f t="shared" si="1"/>
        <v>0</v>
      </c>
    </row>
    <row r="6">
      <c r="A6" s="52" t="s">
        <v>885</v>
      </c>
      <c r="B6" s="48" t="s">
        <v>886</v>
      </c>
      <c r="C6" s="35" t="s">
        <v>887</v>
      </c>
      <c r="D6" s="33" t="s">
        <v>888</v>
      </c>
      <c r="E6" s="35" t="s">
        <v>870</v>
      </c>
      <c r="F6" s="36">
        <v>3.0</v>
      </c>
      <c r="G6" s="37">
        <v>0.0</v>
      </c>
      <c r="H6" s="36">
        <v>0.0</v>
      </c>
      <c r="I6" s="36">
        <v>0.0</v>
      </c>
      <c r="J6" s="37">
        <v>165.0</v>
      </c>
      <c r="K6" s="36">
        <v>0.0</v>
      </c>
      <c r="L6" s="53" t="b">
        <v>0</v>
      </c>
      <c r="M6" s="54"/>
      <c r="N6" s="55">
        <f t="shared" si="1"/>
        <v>0</v>
      </c>
    </row>
    <row r="7">
      <c r="A7" s="52" t="s">
        <v>889</v>
      </c>
      <c r="B7" s="48" t="s">
        <v>890</v>
      </c>
      <c r="C7" s="35" t="s">
        <v>891</v>
      </c>
      <c r="D7" s="33" t="s">
        <v>892</v>
      </c>
      <c r="E7" s="35" t="s">
        <v>870</v>
      </c>
      <c r="F7" s="36">
        <v>2.0</v>
      </c>
      <c r="G7" s="37">
        <v>0.0</v>
      </c>
      <c r="H7" s="36">
        <v>1.0</v>
      </c>
      <c r="I7" s="36">
        <v>0.0</v>
      </c>
      <c r="J7" s="37">
        <v>165.0</v>
      </c>
      <c r="K7" s="36">
        <v>0.0</v>
      </c>
      <c r="L7" s="53" t="b">
        <v>0</v>
      </c>
      <c r="M7" s="33" t="s">
        <v>893</v>
      </c>
      <c r="N7" s="55">
        <f t="shared" si="1"/>
        <v>1</v>
      </c>
    </row>
    <row r="8">
      <c r="A8" s="52" t="s">
        <v>894</v>
      </c>
      <c r="B8" s="48" t="s">
        <v>895</v>
      </c>
      <c r="C8" s="35" t="s">
        <v>896</v>
      </c>
      <c r="D8" s="33" t="s">
        <v>897</v>
      </c>
      <c r="E8" s="35" t="s">
        <v>870</v>
      </c>
      <c r="F8" s="36">
        <v>0.0</v>
      </c>
      <c r="G8" s="37">
        <v>0.0</v>
      </c>
      <c r="H8" s="36">
        <v>0.0</v>
      </c>
      <c r="I8" s="36">
        <v>0.0</v>
      </c>
      <c r="J8" s="37">
        <v>153.0</v>
      </c>
      <c r="K8" s="36">
        <v>0.0</v>
      </c>
      <c r="L8" s="53" t="b">
        <v>0</v>
      </c>
      <c r="M8" s="33" t="s">
        <v>898</v>
      </c>
      <c r="N8" s="55">
        <f t="shared" si="1"/>
        <v>0</v>
      </c>
    </row>
    <row r="9">
      <c r="A9" s="52" t="s">
        <v>899</v>
      </c>
      <c r="B9" s="48" t="s">
        <v>900</v>
      </c>
      <c r="C9" s="35" t="s">
        <v>901</v>
      </c>
      <c r="D9" s="33" t="s">
        <v>902</v>
      </c>
      <c r="E9" s="35" t="s">
        <v>870</v>
      </c>
      <c r="F9" s="36">
        <v>1.0</v>
      </c>
      <c r="G9" s="37">
        <v>0.0</v>
      </c>
      <c r="H9" s="36">
        <v>0.0</v>
      </c>
      <c r="I9" s="36">
        <v>0.0</v>
      </c>
      <c r="J9" s="37">
        <v>134.0</v>
      </c>
      <c r="K9" s="36">
        <v>0.0</v>
      </c>
      <c r="L9" s="53" t="b">
        <v>0</v>
      </c>
      <c r="M9" s="33" t="s">
        <v>903</v>
      </c>
      <c r="N9" s="55">
        <f t="shared" si="1"/>
        <v>0</v>
      </c>
    </row>
    <row r="10">
      <c r="A10" s="52" t="s">
        <v>904</v>
      </c>
      <c r="B10" s="48" t="s">
        <v>905</v>
      </c>
      <c r="C10" s="35" t="s">
        <v>906</v>
      </c>
      <c r="D10" s="33" t="s">
        <v>907</v>
      </c>
      <c r="E10" s="35" t="s">
        <v>870</v>
      </c>
      <c r="F10" s="36">
        <v>2.0</v>
      </c>
      <c r="G10" s="37">
        <v>0.0</v>
      </c>
      <c r="H10" s="36">
        <v>1.0</v>
      </c>
      <c r="I10" s="36">
        <v>0.0</v>
      </c>
      <c r="J10" s="37">
        <v>151.0</v>
      </c>
      <c r="K10" s="36">
        <v>0.0</v>
      </c>
      <c r="L10" s="53" t="b">
        <v>0</v>
      </c>
      <c r="M10" s="54"/>
      <c r="N10" s="55">
        <f t="shared" si="1"/>
        <v>1</v>
      </c>
    </row>
    <row r="11">
      <c r="A11" s="52" t="s">
        <v>866</v>
      </c>
      <c r="B11" s="48" t="s">
        <v>867</v>
      </c>
      <c r="C11" s="35" t="s">
        <v>868</v>
      </c>
      <c r="D11" s="33" t="s">
        <v>869</v>
      </c>
      <c r="E11" s="35" t="s">
        <v>870</v>
      </c>
      <c r="F11" s="36">
        <v>3.0</v>
      </c>
      <c r="G11" s="37">
        <v>0.0</v>
      </c>
      <c r="H11" s="36">
        <v>0.0</v>
      </c>
      <c r="I11" s="36">
        <v>0.0</v>
      </c>
      <c r="J11" s="37">
        <v>316.0</v>
      </c>
      <c r="K11" s="36">
        <v>0.0</v>
      </c>
      <c r="L11" s="53" t="b">
        <v>0</v>
      </c>
      <c r="M11" s="54"/>
      <c r="N11" s="55">
        <f t="shared" si="1"/>
        <v>0</v>
      </c>
    </row>
    <row r="12">
      <c r="A12" s="52" t="s">
        <v>871</v>
      </c>
      <c r="B12" s="48" t="s">
        <v>872</v>
      </c>
      <c r="C12" s="35" t="s">
        <v>873</v>
      </c>
      <c r="D12" s="33" t="s">
        <v>874</v>
      </c>
      <c r="E12" s="35" t="s">
        <v>870</v>
      </c>
      <c r="F12" s="36">
        <v>0.0</v>
      </c>
      <c r="G12" s="37">
        <v>0.0</v>
      </c>
      <c r="H12" s="36">
        <v>0.0</v>
      </c>
      <c r="I12" s="36">
        <v>0.0</v>
      </c>
      <c r="J12" s="37">
        <v>251.0</v>
      </c>
      <c r="K12" s="36">
        <v>0.0</v>
      </c>
      <c r="L12" s="53" t="b">
        <v>0</v>
      </c>
      <c r="M12" s="54"/>
      <c r="N12" s="55">
        <f t="shared" si="1"/>
        <v>0</v>
      </c>
    </row>
    <row r="13">
      <c r="A13" s="52" t="s">
        <v>875</v>
      </c>
      <c r="B13" s="48" t="s">
        <v>876</v>
      </c>
      <c r="C13" s="35" t="s">
        <v>877</v>
      </c>
      <c r="D13" s="33" t="s">
        <v>878</v>
      </c>
      <c r="E13" s="35" t="s">
        <v>870</v>
      </c>
      <c r="F13" s="36">
        <v>1.0</v>
      </c>
      <c r="G13" s="37">
        <v>0.0</v>
      </c>
      <c r="H13" s="36">
        <v>0.0</v>
      </c>
      <c r="I13" s="36">
        <v>0.0</v>
      </c>
      <c r="J13" s="37">
        <v>224.0</v>
      </c>
      <c r="K13" s="36">
        <v>0.0</v>
      </c>
      <c r="L13" s="53" t="b">
        <v>0</v>
      </c>
      <c r="M13" s="33" t="s">
        <v>879</v>
      </c>
      <c r="N13" s="55">
        <f t="shared" si="1"/>
        <v>0</v>
      </c>
    </row>
    <row r="14">
      <c r="A14" s="52" t="s">
        <v>880</v>
      </c>
      <c r="B14" s="48" t="s">
        <v>881</v>
      </c>
      <c r="C14" s="35" t="s">
        <v>882</v>
      </c>
      <c r="D14" s="33" t="s">
        <v>883</v>
      </c>
      <c r="E14" s="35" t="s">
        <v>870</v>
      </c>
      <c r="F14" s="36">
        <v>1.0</v>
      </c>
      <c r="G14" s="37">
        <v>0.0</v>
      </c>
      <c r="H14" s="36">
        <v>0.0</v>
      </c>
      <c r="I14" s="36">
        <v>0.0</v>
      </c>
      <c r="J14" s="37">
        <v>169.0</v>
      </c>
      <c r="K14" s="36">
        <v>0.0</v>
      </c>
      <c r="L14" s="53" t="b">
        <v>0</v>
      </c>
      <c r="M14" s="33" t="s">
        <v>884</v>
      </c>
      <c r="N14" s="55">
        <f t="shared" si="1"/>
        <v>0</v>
      </c>
    </row>
    <row r="15">
      <c r="A15" s="52" t="s">
        <v>885</v>
      </c>
      <c r="B15" s="48" t="s">
        <v>886</v>
      </c>
      <c r="C15" s="35" t="s">
        <v>887</v>
      </c>
      <c r="D15" s="33" t="s">
        <v>888</v>
      </c>
      <c r="E15" s="35" t="s">
        <v>870</v>
      </c>
      <c r="F15" s="36">
        <v>3.0</v>
      </c>
      <c r="G15" s="37">
        <v>0.0</v>
      </c>
      <c r="H15" s="36">
        <v>0.0</v>
      </c>
      <c r="I15" s="36">
        <v>0.0</v>
      </c>
      <c r="J15" s="37">
        <v>165.0</v>
      </c>
      <c r="K15" s="36">
        <v>0.0</v>
      </c>
      <c r="L15" s="53" t="b">
        <v>0</v>
      </c>
      <c r="M15" s="54"/>
      <c r="N15" s="55">
        <f t="shared" si="1"/>
        <v>0</v>
      </c>
    </row>
    <row r="16">
      <c r="A16" s="52" t="s">
        <v>889</v>
      </c>
      <c r="B16" s="48" t="s">
        <v>890</v>
      </c>
      <c r="C16" s="35" t="s">
        <v>891</v>
      </c>
      <c r="D16" s="33" t="s">
        <v>892</v>
      </c>
      <c r="E16" s="35" t="s">
        <v>870</v>
      </c>
      <c r="F16" s="36">
        <v>2.0</v>
      </c>
      <c r="G16" s="37">
        <v>0.0</v>
      </c>
      <c r="H16" s="36">
        <v>1.0</v>
      </c>
      <c r="I16" s="36">
        <v>0.0</v>
      </c>
      <c r="J16" s="37">
        <v>165.0</v>
      </c>
      <c r="K16" s="36">
        <v>0.0</v>
      </c>
      <c r="L16" s="53" t="b">
        <v>0</v>
      </c>
      <c r="M16" s="33" t="s">
        <v>893</v>
      </c>
      <c r="N16" s="55">
        <f t="shared" si="1"/>
        <v>1</v>
      </c>
    </row>
    <row r="17">
      <c r="A17" s="52" t="s">
        <v>894</v>
      </c>
      <c r="B17" s="48" t="s">
        <v>895</v>
      </c>
      <c r="C17" s="35" t="s">
        <v>896</v>
      </c>
      <c r="D17" s="33" t="s">
        <v>897</v>
      </c>
      <c r="E17" s="35" t="s">
        <v>870</v>
      </c>
      <c r="F17" s="36">
        <v>0.0</v>
      </c>
      <c r="G17" s="37">
        <v>0.0</v>
      </c>
      <c r="H17" s="36">
        <v>0.0</v>
      </c>
      <c r="I17" s="36">
        <v>0.0</v>
      </c>
      <c r="J17" s="37">
        <v>152.0</v>
      </c>
      <c r="K17" s="36">
        <v>0.0</v>
      </c>
      <c r="L17" s="53" t="b">
        <v>0</v>
      </c>
      <c r="M17" s="33" t="s">
        <v>898</v>
      </c>
      <c r="N17" s="55">
        <f t="shared" si="1"/>
        <v>0</v>
      </c>
    </row>
    <row r="18">
      <c r="A18" s="52" t="s">
        <v>899</v>
      </c>
      <c r="B18" s="48" t="s">
        <v>900</v>
      </c>
      <c r="C18" s="35" t="s">
        <v>901</v>
      </c>
      <c r="D18" s="33" t="s">
        <v>902</v>
      </c>
      <c r="E18" s="35" t="s">
        <v>870</v>
      </c>
      <c r="F18" s="36">
        <v>1.0</v>
      </c>
      <c r="G18" s="37">
        <v>0.0</v>
      </c>
      <c r="H18" s="36">
        <v>0.0</v>
      </c>
      <c r="I18" s="36">
        <v>0.0</v>
      </c>
      <c r="J18" s="37">
        <v>134.0</v>
      </c>
      <c r="K18" s="36">
        <v>0.0</v>
      </c>
      <c r="L18" s="53" t="b">
        <v>0</v>
      </c>
      <c r="M18" s="33" t="s">
        <v>903</v>
      </c>
      <c r="N18" s="55">
        <f t="shared" si="1"/>
        <v>0</v>
      </c>
    </row>
    <row r="19">
      <c r="A19" s="52" t="s">
        <v>904</v>
      </c>
      <c r="B19" s="48" t="s">
        <v>905</v>
      </c>
      <c r="C19" s="35" t="s">
        <v>906</v>
      </c>
      <c r="D19" s="33" t="s">
        <v>907</v>
      </c>
      <c r="E19" s="35" t="s">
        <v>870</v>
      </c>
      <c r="F19" s="36">
        <v>2.0</v>
      </c>
      <c r="G19" s="37">
        <v>0.0</v>
      </c>
      <c r="H19" s="36">
        <v>1.0</v>
      </c>
      <c r="I19" s="36">
        <v>0.0</v>
      </c>
      <c r="J19" s="37">
        <v>151.0</v>
      </c>
      <c r="K19" s="36">
        <v>0.0</v>
      </c>
      <c r="L19" s="53" t="b">
        <v>0</v>
      </c>
      <c r="M19" s="54"/>
      <c r="N19" s="55">
        <f t="shared" si="1"/>
        <v>1</v>
      </c>
    </row>
    <row r="20">
      <c r="A20" s="52" t="s">
        <v>866</v>
      </c>
      <c r="B20" s="48" t="s">
        <v>867</v>
      </c>
      <c r="C20" s="35" t="s">
        <v>868</v>
      </c>
      <c r="D20" s="33" t="s">
        <v>869</v>
      </c>
      <c r="E20" s="35" t="s">
        <v>870</v>
      </c>
      <c r="F20" s="36">
        <v>3.0</v>
      </c>
      <c r="G20" s="37">
        <v>0.0</v>
      </c>
      <c r="H20" s="36">
        <v>0.0</v>
      </c>
      <c r="I20" s="36">
        <v>0.0</v>
      </c>
      <c r="J20" s="37">
        <v>317.0</v>
      </c>
      <c r="K20" s="36">
        <v>0.0</v>
      </c>
      <c r="L20" s="53" t="b">
        <v>0</v>
      </c>
      <c r="M20" s="54"/>
      <c r="N20" s="55">
        <f t="shared" si="1"/>
        <v>0</v>
      </c>
    </row>
    <row r="21">
      <c r="A21" s="52" t="s">
        <v>871</v>
      </c>
      <c r="B21" s="48" t="s">
        <v>872</v>
      </c>
      <c r="C21" s="35" t="s">
        <v>873</v>
      </c>
      <c r="D21" s="33" t="s">
        <v>874</v>
      </c>
      <c r="E21" s="35" t="s">
        <v>870</v>
      </c>
      <c r="F21" s="36">
        <v>0.0</v>
      </c>
      <c r="G21" s="37">
        <v>0.0</v>
      </c>
      <c r="H21" s="36">
        <v>0.0</v>
      </c>
      <c r="I21" s="36">
        <v>0.0</v>
      </c>
      <c r="J21" s="37">
        <v>251.0</v>
      </c>
      <c r="K21" s="36">
        <v>0.0</v>
      </c>
      <c r="L21" s="53" t="b">
        <v>0</v>
      </c>
      <c r="M21" s="54"/>
      <c r="N21" s="55">
        <f t="shared" si="1"/>
        <v>0</v>
      </c>
    </row>
    <row r="22">
      <c r="A22" s="52" t="s">
        <v>875</v>
      </c>
      <c r="B22" s="48" t="s">
        <v>876</v>
      </c>
      <c r="C22" s="35" t="s">
        <v>877</v>
      </c>
      <c r="D22" s="33" t="s">
        <v>878</v>
      </c>
      <c r="E22" s="35" t="s">
        <v>870</v>
      </c>
      <c r="F22" s="36">
        <v>1.0</v>
      </c>
      <c r="G22" s="37">
        <v>0.0</v>
      </c>
      <c r="H22" s="36">
        <v>0.0</v>
      </c>
      <c r="I22" s="36">
        <v>0.0</v>
      </c>
      <c r="J22" s="37">
        <v>224.0</v>
      </c>
      <c r="K22" s="36">
        <v>0.0</v>
      </c>
      <c r="L22" s="53" t="b">
        <v>0</v>
      </c>
      <c r="M22" s="33" t="s">
        <v>879</v>
      </c>
      <c r="N22" s="55">
        <f t="shared" si="1"/>
        <v>0</v>
      </c>
    </row>
    <row r="23">
      <c r="A23" s="52" t="s">
        <v>880</v>
      </c>
      <c r="B23" s="48" t="s">
        <v>881</v>
      </c>
      <c r="C23" s="35" t="s">
        <v>882</v>
      </c>
      <c r="D23" s="33" t="s">
        <v>883</v>
      </c>
      <c r="E23" s="35" t="s">
        <v>870</v>
      </c>
      <c r="F23" s="36">
        <v>1.0</v>
      </c>
      <c r="G23" s="37">
        <v>0.0</v>
      </c>
      <c r="H23" s="36">
        <v>0.0</v>
      </c>
      <c r="I23" s="36">
        <v>0.0</v>
      </c>
      <c r="J23" s="37">
        <v>169.0</v>
      </c>
      <c r="K23" s="36">
        <v>0.0</v>
      </c>
      <c r="L23" s="53" t="b">
        <v>0</v>
      </c>
      <c r="M23" s="33" t="s">
        <v>884</v>
      </c>
      <c r="N23" s="55">
        <f t="shared" si="1"/>
        <v>0</v>
      </c>
    </row>
    <row r="24">
      <c r="A24" s="52" t="s">
        <v>885</v>
      </c>
      <c r="B24" s="48" t="s">
        <v>886</v>
      </c>
      <c r="C24" s="35" t="s">
        <v>887</v>
      </c>
      <c r="D24" s="33" t="s">
        <v>888</v>
      </c>
      <c r="E24" s="35" t="s">
        <v>870</v>
      </c>
      <c r="F24" s="36">
        <v>3.0</v>
      </c>
      <c r="G24" s="37">
        <v>0.0</v>
      </c>
      <c r="H24" s="36">
        <v>0.0</v>
      </c>
      <c r="I24" s="36">
        <v>0.0</v>
      </c>
      <c r="J24" s="37">
        <v>165.0</v>
      </c>
      <c r="K24" s="36">
        <v>0.0</v>
      </c>
      <c r="L24" s="53" t="b">
        <v>0</v>
      </c>
      <c r="M24" s="54"/>
      <c r="N24" s="55">
        <f t="shared" si="1"/>
        <v>0</v>
      </c>
    </row>
    <row r="25">
      <c r="A25" s="52" t="s">
        <v>889</v>
      </c>
      <c r="B25" s="48" t="s">
        <v>890</v>
      </c>
      <c r="C25" s="35" t="s">
        <v>891</v>
      </c>
      <c r="D25" s="33" t="s">
        <v>892</v>
      </c>
      <c r="E25" s="35" t="s">
        <v>870</v>
      </c>
      <c r="F25" s="36">
        <v>2.0</v>
      </c>
      <c r="G25" s="37">
        <v>0.0</v>
      </c>
      <c r="H25" s="36">
        <v>1.0</v>
      </c>
      <c r="I25" s="36">
        <v>0.0</v>
      </c>
      <c r="J25" s="37">
        <v>165.0</v>
      </c>
      <c r="K25" s="36">
        <v>0.0</v>
      </c>
      <c r="L25" s="53" t="b">
        <v>0</v>
      </c>
      <c r="M25" s="33" t="s">
        <v>893</v>
      </c>
      <c r="N25" s="55">
        <f t="shared" si="1"/>
        <v>1</v>
      </c>
    </row>
    <row r="26">
      <c r="A26" s="52" t="s">
        <v>894</v>
      </c>
      <c r="B26" s="48" t="s">
        <v>895</v>
      </c>
      <c r="C26" s="35" t="s">
        <v>896</v>
      </c>
      <c r="D26" s="33" t="s">
        <v>897</v>
      </c>
      <c r="E26" s="35" t="s">
        <v>870</v>
      </c>
      <c r="F26" s="36">
        <v>0.0</v>
      </c>
      <c r="G26" s="37">
        <v>0.0</v>
      </c>
      <c r="H26" s="36">
        <v>0.0</v>
      </c>
      <c r="I26" s="36">
        <v>0.0</v>
      </c>
      <c r="J26" s="37">
        <v>153.0</v>
      </c>
      <c r="K26" s="36">
        <v>0.0</v>
      </c>
      <c r="L26" s="53" t="b">
        <v>0</v>
      </c>
      <c r="M26" s="33" t="s">
        <v>898</v>
      </c>
      <c r="N26" s="55">
        <f t="shared" si="1"/>
        <v>0</v>
      </c>
    </row>
    <row r="27">
      <c r="A27" s="52" t="s">
        <v>899</v>
      </c>
      <c r="B27" s="48" t="s">
        <v>900</v>
      </c>
      <c r="C27" s="35" t="s">
        <v>901</v>
      </c>
      <c r="D27" s="33" t="s">
        <v>902</v>
      </c>
      <c r="E27" s="35" t="s">
        <v>870</v>
      </c>
      <c r="F27" s="36">
        <v>1.0</v>
      </c>
      <c r="G27" s="37">
        <v>0.0</v>
      </c>
      <c r="H27" s="36">
        <v>0.0</v>
      </c>
      <c r="I27" s="36">
        <v>0.0</v>
      </c>
      <c r="J27" s="37">
        <v>134.0</v>
      </c>
      <c r="K27" s="36">
        <v>0.0</v>
      </c>
      <c r="L27" s="53" t="b">
        <v>0</v>
      </c>
      <c r="M27" s="33" t="s">
        <v>903</v>
      </c>
      <c r="N27" s="55">
        <f t="shared" si="1"/>
        <v>0</v>
      </c>
    </row>
    <row r="28">
      <c r="A28" s="52" t="s">
        <v>904</v>
      </c>
      <c r="B28" s="48" t="s">
        <v>905</v>
      </c>
      <c r="C28" s="35" t="s">
        <v>906</v>
      </c>
      <c r="D28" s="33" t="s">
        <v>907</v>
      </c>
      <c r="E28" s="35" t="s">
        <v>870</v>
      </c>
      <c r="F28" s="36">
        <v>2.0</v>
      </c>
      <c r="G28" s="37">
        <v>0.0</v>
      </c>
      <c r="H28" s="36">
        <v>1.0</v>
      </c>
      <c r="I28" s="36">
        <v>0.0</v>
      </c>
      <c r="J28" s="37">
        <v>151.0</v>
      </c>
      <c r="K28" s="36">
        <v>0.0</v>
      </c>
      <c r="L28" s="53" t="b">
        <v>0</v>
      </c>
      <c r="M28" s="54"/>
      <c r="N28" s="55">
        <f t="shared" si="1"/>
        <v>1</v>
      </c>
    </row>
    <row r="29">
      <c r="A29" s="52" t="s">
        <v>866</v>
      </c>
      <c r="B29" s="48" t="s">
        <v>867</v>
      </c>
      <c r="C29" s="35" t="s">
        <v>868</v>
      </c>
      <c r="D29" s="33" t="s">
        <v>869</v>
      </c>
      <c r="E29" s="35" t="s">
        <v>870</v>
      </c>
      <c r="F29" s="36">
        <v>3.0</v>
      </c>
      <c r="G29" s="37">
        <v>0.0</v>
      </c>
      <c r="H29" s="36">
        <v>0.0</v>
      </c>
      <c r="I29" s="36">
        <v>0.0</v>
      </c>
      <c r="J29" s="37">
        <v>317.0</v>
      </c>
      <c r="K29" s="36">
        <v>0.0</v>
      </c>
      <c r="L29" s="53" t="b">
        <v>0</v>
      </c>
      <c r="M29" s="54"/>
      <c r="N29" s="55">
        <f t="shared" si="1"/>
        <v>0</v>
      </c>
    </row>
    <row r="30">
      <c r="A30" s="52" t="s">
        <v>871</v>
      </c>
      <c r="B30" s="48" t="s">
        <v>872</v>
      </c>
      <c r="C30" s="35" t="s">
        <v>873</v>
      </c>
      <c r="D30" s="33" t="s">
        <v>874</v>
      </c>
      <c r="E30" s="35" t="s">
        <v>870</v>
      </c>
      <c r="F30" s="36">
        <v>0.0</v>
      </c>
      <c r="G30" s="37">
        <v>0.0</v>
      </c>
      <c r="H30" s="36">
        <v>0.0</v>
      </c>
      <c r="I30" s="36">
        <v>0.0</v>
      </c>
      <c r="J30" s="37">
        <v>251.0</v>
      </c>
      <c r="K30" s="36">
        <v>0.0</v>
      </c>
      <c r="L30" s="53" t="b">
        <v>0</v>
      </c>
      <c r="M30" s="54"/>
      <c r="N30" s="55">
        <f t="shared" si="1"/>
        <v>0</v>
      </c>
    </row>
    <row r="31">
      <c r="A31" s="52" t="s">
        <v>875</v>
      </c>
      <c r="B31" s="48" t="s">
        <v>876</v>
      </c>
      <c r="C31" s="35" t="s">
        <v>877</v>
      </c>
      <c r="D31" s="33" t="s">
        <v>878</v>
      </c>
      <c r="E31" s="35" t="s">
        <v>870</v>
      </c>
      <c r="F31" s="36">
        <v>1.0</v>
      </c>
      <c r="G31" s="37">
        <v>0.0</v>
      </c>
      <c r="H31" s="36">
        <v>0.0</v>
      </c>
      <c r="I31" s="36">
        <v>0.0</v>
      </c>
      <c r="J31" s="37">
        <v>224.0</v>
      </c>
      <c r="K31" s="36">
        <v>0.0</v>
      </c>
      <c r="L31" s="53" t="b">
        <v>0</v>
      </c>
      <c r="M31" s="33" t="s">
        <v>879</v>
      </c>
      <c r="N31" s="55">
        <f t="shared" si="1"/>
        <v>0</v>
      </c>
    </row>
    <row r="32">
      <c r="A32" s="52" t="s">
        <v>880</v>
      </c>
      <c r="B32" s="48" t="s">
        <v>881</v>
      </c>
      <c r="C32" s="35" t="s">
        <v>882</v>
      </c>
      <c r="D32" s="33" t="s">
        <v>883</v>
      </c>
      <c r="E32" s="35" t="s">
        <v>870</v>
      </c>
      <c r="F32" s="36">
        <v>1.0</v>
      </c>
      <c r="G32" s="37">
        <v>0.0</v>
      </c>
      <c r="H32" s="36">
        <v>0.0</v>
      </c>
      <c r="I32" s="36">
        <v>0.0</v>
      </c>
      <c r="J32" s="37">
        <v>169.0</v>
      </c>
      <c r="K32" s="36">
        <v>0.0</v>
      </c>
      <c r="L32" s="53" t="b">
        <v>0</v>
      </c>
      <c r="M32" s="33" t="s">
        <v>884</v>
      </c>
      <c r="N32" s="55">
        <f t="shared" si="1"/>
        <v>0</v>
      </c>
    </row>
    <row r="33">
      <c r="A33" s="52" t="s">
        <v>885</v>
      </c>
      <c r="B33" s="48" t="s">
        <v>886</v>
      </c>
      <c r="C33" s="35" t="s">
        <v>887</v>
      </c>
      <c r="D33" s="33" t="s">
        <v>888</v>
      </c>
      <c r="E33" s="35" t="s">
        <v>870</v>
      </c>
      <c r="F33" s="36">
        <v>3.0</v>
      </c>
      <c r="G33" s="37">
        <v>0.0</v>
      </c>
      <c r="H33" s="36">
        <v>0.0</v>
      </c>
      <c r="I33" s="36">
        <v>0.0</v>
      </c>
      <c r="J33" s="37">
        <v>165.0</v>
      </c>
      <c r="K33" s="36">
        <v>0.0</v>
      </c>
      <c r="L33" s="53" t="b">
        <v>0</v>
      </c>
      <c r="M33" s="54"/>
      <c r="N33" s="55">
        <f t="shared" si="1"/>
        <v>0</v>
      </c>
    </row>
    <row r="34">
      <c r="A34" s="52" t="s">
        <v>889</v>
      </c>
      <c r="B34" s="48" t="s">
        <v>890</v>
      </c>
      <c r="C34" s="35" t="s">
        <v>891</v>
      </c>
      <c r="D34" s="33" t="s">
        <v>892</v>
      </c>
      <c r="E34" s="35" t="s">
        <v>870</v>
      </c>
      <c r="F34" s="36">
        <v>2.0</v>
      </c>
      <c r="G34" s="37">
        <v>0.0</v>
      </c>
      <c r="H34" s="36">
        <v>1.0</v>
      </c>
      <c r="I34" s="36">
        <v>0.0</v>
      </c>
      <c r="J34" s="37">
        <v>165.0</v>
      </c>
      <c r="K34" s="36">
        <v>0.0</v>
      </c>
      <c r="L34" s="53" t="b">
        <v>0</v>
      </c>
      <c r="M34" s="33" t="s">
        <v>893</v>
      </c>
      <c r="N34" s="55">
        <f t="shared" si="1"/>
        <v>1</v>
      </c>
    </row>
    <row r="35">
      <c r="A35" s="52" t="s">
        <v>894</v>
      </c>
      <c r="B35" s="48" t="s">
        <v>895</v>
      </c>
      <c r="C35" s="35" t="s">
        <v>896</v>
      </c>
      <c r="D35" s="33" t="s">
        <v>897</v>
      </c>
      <c r="E35" s="35" t="s">
        <v>870</v>
      </c>
      <c r="F35" s="36">
        <v>0.0</v>
      </c>
      <c r="G35" s="37">
        <v>0.0</v>
      </c>
      <c r="H35" s="36">
        <v>0.0</v>
      </c>
      <c r="I35" s="36">
        <v>0.0</v>
      </c>
      <c r="J35" s="37">
        <v>153.0</v>
      </c>
      <c r="K35" s="36">
        <v>0.0</v>
      </c>
      <c r="L35" s="53" t="b">
        <v>0</v>
      </c>
      <c r="M35" s="33" t="s">
        <v>898</v>
      </c>
      <c r="N35" s="55">
        <f t="shared" si="1"/>
        <v>0</v>
      </c>
    </row>
    <row r="36">
      <c r="A36" s="52" t="s">
        <v>899</v>
      </c>
      <c r="B36" s="48" t="s">
        <v>900</v>
      </c>
      <c r="C36" s="35" t="s">
        <v>901</v>
      </c>
      <c r="D36" s="33" t="s">
        <v>902</v>
      </c>
      <c r="E36" s="35" t="s">
        <v>870</v>
      </c>
      <c r="F36" s="36">
        <v>1.0</v>
      </c>
      <c r="G36" s="37">
        <v>0.0</v>
      </c>
      <c r="H36" s="36">
        <v>0.0</v>
      </c>
      <c r="I36" s="36">
        <v>0.0</v>
      </c>
      <c r="J36" s="37">
        <v>134.0</v>
      </c>
      <c r="K36" s="36">
        <v>0.0</v>
      </c>
      <c r="L36" s="53" t="b">
        <v>0</v>
      </c>
      <c r="M36" s="33" t="s">
        <v>903</v>
      </c>
      <c r="N36" s="55">
        <f t="shared" si="1"/>
        <v>0</v>
      </c>
    </row>
    <row r="37">
      <c r="A37" s="52" t="s">
        <v>904</v>
      </c>
      <c r="B37" s="48" t="s">
        <v>905</v>
      </c>
      <c r="C37" s="35" t="s">
        <v>906</v>
      </c>
      <c r="D37" s="33" t="s">
        <v>907</v>
      </c>
      <c r="E37" s="35" t="s">
        <v>870</v>
      </c>
      <c r="F37" s="36">
        <v>2.0</v>
      </c>
      <c r="G37" s="37">
        <v>0.0</v>
      </c>
      <c r="H37" s="36">
        <v>1.0</v>
      </c>
      <c r="I37" s="36">
        <v>0.0</v>
      </c>
      <c r="J37" s="37">
        <v>151.0</v>
      </c>
      <c r="K37" s="36">
        <v>0.0</v>
      </c>
      <c r="L37" s="53" t="b">
        <v>0</v>
      </c>
      <c r="M37" s="54"/>
      <c r="N37" s="55">
        <f t="shared" si="1"/>
        <v>1</v>
      </c>
    </row>
    <row r="38">
      <c r="A38" s="52" t="s">
        <v>866</v>
      </c>
      <c r="B38" s="48" t="s">
        <v>867</v>
      </c>
      <c r="C38" s="35" t="s">
        <v>868</v>
      </c>
      <c r="D38" s="33" t="s">
        <v>869</v>
      </c>
      <c r="E38" s="35" t="s">
        <v>870</v>
      </c>
      <c r="F38" s="36">
        <v>3.0</v>
      </c>
      <c r="G38" s="37">
        <v>0.0</v>
      </c>
      <c r="H38" s="36">
        <v>0.0</v>
      </c>
      <c r="I38" s="36">
        <v>0.0</v>
      </c>
      <c r="J38" s="37">
        <v>316.0</v>
      </c>
      <c r="K38" s="36">
        <v>0.0</v>
      </c>
      <c r="L38" s="53" t="b">
        <v>0</v>
      </c>
      <c r="M38" s="54"/>
      <c r="N38" s="55">
        <f t="shared" si="1"/>
        <v>0</v>
      </c>
    </row>
    <row r="39">
      <c r="A39" s="52" t="s">
        <v>871</v>
      </c>
      <c r="B39" s="48" t="s">
        <v>872</v>
      </c>
      <c r="C39" s="35" t="s">
        <v>873</v>
      </c>
      <c r="D39" s="33" t="s">
        <v>874</v>
      </c>
      <c r="E39" s="35" t="s">
        <v>870</v>
      </c>
      <c r="F39" s="36">
        <v>0.0</v>
      </c>
      <c r="G39" s="37">
        <v>0.0</v>
      </c>
      <c r="H39" s="36">
        <v>0.0</v>
      </c>
      <c r="I39" s="36">
        <v>0.0</v>
      </c>
      <c r="J39" s="37">
        <v>251.0</v>
      </c>
      <c r="K39" s="36">
        <v>0.0</v>
      </c>
      <c r="L39" s="53" t="b">
        <v>0</v>
      </c>
      <c r="M39" s="54"/>
      <c r="N39" s="55">
        <f t="shared" si="1"/>
        <v>0</v>
      </c>
    </row>
    <row r="40">
      <c r="A40" s="52" t="s">
        <v>875</v>
      </c>
      <c r="B40" s="48" t="s">
        <v>876</v>
      </c>
      <c r="C40" s="35" t="s">
        <v>877</v>
      </c>
      <c r="D40" s="33" t="s">
        <v>878</v>
      </c>
      <c r="E40" s="35" t="s">
        <v>870</v>
      </c>
      <c r="F40" s="36">
        <v>1.0</v>
      </c>
      <c r="G40" s="37">
        <v>0.0</v>
      </c>
      <c r="H40" s="36">
        <v>0.0</v>
      </c>
      <c r="I40" s="36">
        <v>0.0</v>
      </c>
      <c r="J40" s="37">
        <v>224.0</v>
      </c>
      <c r="K40" s="36">
        <v>0.0</v>
      </c>
      <c r="L40" s="53" t="b">
        <v>0</v>
      </c>
      <c r="M40" s="33" t="s">
        <v>879</v>
      </c>
      <c r="N40" s="55">
        <f t="shared" si="1"/>
        <v>0</v>
      </c>
    </row>
    <row r="41">
      <c r="A41" s="52" t="s">
        <v>880</v>
      </c>
      <c r="B41" s="48" t="s">
        <v>881</v>
      </c>
      <c r="C41" s="35" t="s">
        <v>882</v>
      </c>
      <c r="D41" s="33" t="s">
        <v>883</v>
      </c>
      <c r="E41" s="35" t="s">
        <v>870</v>
      </c>
      <c r="F41" s="36">
        <v>1.0</v>
      </c>
      <c r="G41" s="37">
        <v>0.0</v>
      </c>
      <c r="H41" s="36">
        <v>0.0</v>
      </c>
      <c r="I41" s="36">
        <v>0.0</v>
      </c>
      <c r="J41" s="37">
        <v>169.0</v>
      </c>
      <c r="K41" s="36">
        <v>0.0</v>
      </c>
      <c r="L41" s="53" t="b">
        <v>0</v>
      </c>
      <c r="M41" s="33" t="s">
        <v>884</v>
      </c>
      <c r="N41" s="55">
        <f t="shared" si="1"/>
        <v>0</v>
      </c>
    </row>
    <row r="42">
      <c r="A42" s="52" t="s">
        <v>885</v>
      </c>
      <c r="B42" s="48" t="s">
        <v>886</v>
      </c>
      <c r="C42" s="35" t="s">
        <v>887</v>
      </c>
      <c r="D42" s="33" t="s">
        <v>888</v>
      </c>
      <c r="E42" s="35" t="s">
        <v>870</v>
      </c>
      <c r="F42" s="36">
        <v>3.0</v>
      </c>
      <c r="G42" s="37">
        <v>0.0</v>
      </c>
      <c r="H42" s="36">
        <v>0.0</v>
      </c>
      <c r="I42" s="36">
        <v>0.0</v>
      </c>
      <c r="J42" s="37">
        <v>165.0</v>
      </c>
      <c r="K42" s="36">
        <v>0.0</v>
      </c>
      <c r="L42" s="53" t="b">
        <v>0</v>
      </c>
      <c r="M42" s="54"/>
      <c r="N42" s="55">
        <f t="shared" si="1"/>
        <v>0</v>
      </c>
    </row>
    <row r="43">
      <c r="A43" s="52" t="s">
        <v>889</v>
      </c>
      <c r="B43" s="48" t="s">
        <v>890</v>
      </c>
      <c r="C43" s="35" t="s">
        <v>891</v>
      </c>
      <c r="D43" s="33" t="s">
        <v>892</v>
      </c>
      <c r="E43" s="35" t="s">
        <v>870</v>
      </c>
      <c r="F43" s="36">
        <v>2.0</v>
      </c>
      <c r="G43" s="37">
        <v>0.0</v>
      </c>
      <c r="H43" s="36">
        <v>1.0</v>
      </c>
      <c r="I43" s="36">
        <v>0.0</v>
      </c>
      <c r="J43" s="37">
        <v>165.0</v>
      </c>
      <c r="K43" s="36">
        <v>0.0</v>
      </c>
      <c r="L43" s="53" t="b">
        <v>0</v>
      </c>
      <c r="M43" s="33" t="s">
        <v>893</v>
      </c>
      <c r="N43" s="55">
        <f t="shared" si="1"/>
        <v>1</v>
      </c>
    </row>
    <row r="44">
      <c r="A44" s="52" t="s">
        <v>894</v>
      </c>
      <c r="B44" s="48" t="s">
        <v>895</v>
      </c>
      <c r="C44" s="35" t="s">
        <v>896</v>
      </c>
      <c r="D44" s="33" t="s">
        <v>897</v>
      </c>
      <c r="E44" s="35" t="s">
        <v>870</v>
      </c>
      <c r="F44" s="36">
        <v>0.0</v>
      </c>
      <c r="G44" s="37">
        <v>0.0</v>
      </c>
      <c r="H44" s="36">
        <v>0.0</v>
      </c>
      <c r="I44" s="36">
        <v>0.0</v>
      </c>
      <c r="J44" s="37">
        <v>152.0</v>
      </c>
      <c r="K44" s="36">
        <v>0.0</v>
      </c>
      <c r="L44" s="53" t="b">
        <v>0</v>
      </c>
      <c r="M44" s="33" t="s">
        <v>898</v>
      </c>
      <c r="N44" s="55">
        <f t="shared" si="1"/>
        <v>0</v>
      </c>
    </row>
    <row r="45">
      <c r="A45" s="52" t="s">
        <v>899</v>
      </c>
      <c r="B45" s="48" t="s">
        <v>900</v>
      </c>
      <c r="C45" s="35" t="s">
        <v>901</v>
      </c>
      <c r="D45" s="33" t="s">
        <v>902</v>
      </c>
      <c r="E45" s="35" t="s">
        <v>870</v>
      </c>
      <c r="F45" s="36">
        <v>1.0</v>
      </c>
      <c r="G45" s="37">
        <v>0.0</v>
      </c>
      <c r="H45" s="36">
        <v>0.0</v>
      </c>
      <c r="I45" s="36">
        <v>0.0</v>
      </c>
      <c r="J45" s="37">
        <v>134.0</v>
      </c>
      <c r="K45" s="36">
        <v>0.0</v>
      </c>
      <c r="L45" s="53" t="b">
        <v>0</v>
      </c>
      <c r="M45" s="33" t="s">
        <v>903</v>
      </c>
      <c r="N45" s="55">
        <f t="shared" si="1"/>
        <v>0</v>
      </c>
    </row>
    <row r="46">
      <c r="A46" s="52" t="s">
        <v>904</v>
      </c>
      <c r="B46" s="48" t="s">
        <v>905</v>
      </c>
      <c r="C46" s="35" t="s">
        <v>906</v>
      </c>
      <c r="D46" s="33" t="s">
        <v>907</v>
      </c>
      <c r="E46" s="35" t="s">
        <v>870</v>
      </c>
      <c r="F46" s="36">
        <v>2.0</v>
      </c>
      <c r="G46" s="37">
        <v>0.0</v>
      </c>
      <c r="H46" s="36">
        <v>1.0</v>
      </c>
      <c r="I46" s="36">
        <v>0.0</v>
      </c>
      <c r="J46" s="37">
        <v>151.0</v>
      </c>
      <c r="K46" s="36">
        <v>0.0</v>
      </c>
      <c r="L46" s="53" t="b">
        <v>0</v>
      </c>
      <c r="M46" s="54"/>
      <c r="N46" s="55">
        <f t="shared" si="1"/>
        <v>1</v>
      </c>
    </row>
    <row r="47">
      <c r="A47" s="52" t="s">
        <v>866</v>
      </c>
      <c r="B47" s="48" t="s">
        <v>867</v>
      </c>
      <c r="C47" s="35" t="s">
        <v>868</v>
      </c>
      <c r="D47" s="33" t="s">
        <v>869</v>
      </c>
      <c r="E47" s="35" t="s">
        <v>870</v>
      </c>
      <c r="F47" s="36">
        <v>3.0</v>
      </c>
      <c r="G47" s="37">
        <v>0.0</v>
      </c>
      <c r="H47" s="36">
        <v>0.0</v>
      </c>
      <c r="I47" s="36">
        <v>0.0</v>
      </c>
      <c r="J47" s="37">
        <v>317.0</v>
      </c>
      <c r="K47" s="36">
        <v>0.0</v>
      </c>
      <c r="L47" s="53" t="b">
        <v>0</v>
      </c>
      <c r="M47" s="54"/>
      <c r="N47" s="55">
        <f t="shared" si="1"/>
        <v>0</v>
      </c>
    </row>
    <row r="48">
      <c r="A48" s="52" t="s">
        <v>871</v>
      </c>
      <c r="B48" s="48" t="s">
        <v>872</v>
      </c>
      <c r="C48" s="35" t="s">
        <v>873</v>
      </c>
      <c r="D48" s="33" t="s">
        <v>874</v>
      </c>
      <c r="E48" s="35" t="s">
        <v>870</v>
      </c>
      <c r="F48" s="36">
        <v>0.0</v>
      </c>
      <c r="G48" s="37">
        <v>0.0</v>
      </c>
      <c r="H48" s="36">
        <v>0.0</v>
      </c>
      <c r="I48" s="36">
        <v>0.0</v>
      </c>
      <c r="J48" s="37">
        <v>251.0</v>
      </c>
      <c r="K48" s="36">
        <v>0.0</v>
      </c>
      <c r="L48" s="53" t="b">
        <v>0</v>
      </c>
      <c r="M48" s="54"/>
      <c r="N48" s="55">
        <f t="shared" si="1"/>
        <v>0</v>
      </c>
    </row>
    <row r="49">
      <c r="A49" s="52" t="s">
        <v>875</v>
      </c>
      <c r="B49" s="48" t="s">
        <v>876</v>
      </c>
      <c r="C49" s="35" t="s">
        <v>877</v>
      </c>
      <c r="D49" s="33" t="s">
        <v>878</v>
      </c>
      <c r="E49" s="35" t="s">
        <v>870</v>
      </c>
      <c r="F49" s="36">
        <v>1.0</v>
      </c>
      <c r="G49" s="37">
        <v>0.0</v>
      </c>
      <c r="H49" s="36">
        <v>0.0</v>
      </c>
      <c r="I49" s="36">
        <v>0.0</v>
      </c>
      <c r="J49" s="37">
        <v>224.0</v>
      </c>
      <c r="K49" s="36">
        <v>0.0</v>
      </c>
      <c r="L49" s="53" t="b">
        <v>0</v>
      </c>
      <c r="M49" s="33" t="s">
        <v>879</v>
      </c>
      <c r="N49" s="55">
        <f t="shared" si="1"/>
        <v>0</v>
      </c>
    </row>
    <row r="50">
      <c r="A50" s="52" t="s">
        <v>880</v>
      </c>
      <c r="B50" s="48" t="s">
        <v>881</v>
      </c>
      <c r="C50" s="35" t="s">
        <v>882</v>
      </c>
      <c r="D50" s="33" t="s">
        <v>883</v>
      </c>
      <c r="E50" s="35" t="s">
        <v>870</v>
      </c>
      <c r="F50" s="36">
        <v>1.0</v>
      </c>
      <c r="G50" s="37">
        <v>0.0</v>
      </c>
      <c r="H50" s="36">
        <v>0.0</v>
      </c>
      <c r="I50" s="36">
        <v>0.0</v>
      </c>
      <c r="J50" s="37">
        <v>169.0</v>
      </c>
      <c r="K50" s="36">
        <v>0.0</v>
      </c>
      <c r="L50" s="53" t="b">
        <v>0</v>
      </c>
      <c r="M50" s="33" t="s">
        <v>884</v>
      </c>
      <c r="N50" s="55">
        <f t="shared" si="1"/>
        <v>0</v>
      </c>
    </row>
    <row r="51">
      <c r="A51" s="52" t="s">
        <v>885</v>
      </c>
      <c r="B51" s="48" t="s">
        <v>886</v>
      </c>
      <c r="C51" s="35" t="s">
        <v>887</v>
      </c>
      <c r="D51" s="33" t="s">
        <v>888</v>
      </c>
      <c r="E51" s="35" t="s">
        <v>870</v>
      </c>
      <c r="F51" s="36">
        <v>3.0</v>
      </c>
      <c r="G51" s="37">
        <v>0.0</v>
      </c>
      <c r="H51" s="36">
        <v>0.0</v>
      </c>
      <c r="I51" s="36">
        <v>0.0</v>
      </c>
      <c r="J51" s="37">
        <v>165.0</v>
      </c>
      <c r="K51" s="36">
        <v>0.0</v>
      </c>
      <c r="L51" s="53" t="b">
        <v>0</v>
      </c>
      <c r="M51" s="54"/>
      <c r="N51" s="55">
        <f t="shared" si="1"/>
        <v>0</v>
      </c>
    </row>
    <row r="52">
      <c r="A52" s="52" t="s">
        <v>889</v>
      </c>
      <c r="B52" s="48" t="s">
        <v>890</v>
      </c>
      <c r="C52" s="35" t="s">
        <v>891</v>
      </c>
      <c r="D52" s="33" t="s">
        <v>892</v>
      </c>
      <c r="E52" s="35" t="s">
        <v>870</v>
      </c>
      <c r="F52" s="36">
        <v>2.0</v>
      </c>
      <c r="G52" s="37">
        <v>0.0</v>
      </c>
      <c r="H52" s="36">
        <v>1.0</v>
      </c>
      <c r="I52" s="36">
        <v>0.0</v>
      </c>
      <c r="J52" s="37">
        <v>165.0</v>
      </c>
      <c r="K52" s="36">
        <v>0.0</v>
      </c>
      <c r="L52" s="53" t="b">
        <v>0</v>
      </c>
      <c r="M52" s="33" t="s">
        <v>893</v>
      </c>
      <c r="N52" s="55">
        <f t="shared" si="1"/>
        <v>1</v>
      </c>
    </row>
    <row r="53">
      <c r="A53" s="52" t="s">
        <v>894</v>
      </c>
      <c r="B53" s="48" t="s">
        <v>895</v>
      </c>
      <c r="C53" s="35" t="s">
        <v>896</v>
      </c>
      <c r="D53" s="33" t="s">
        <v>897</v>
      </c>
      <c r="E53" s="35" t="s">
        <v>870</v>
      </c>
      <c r="F53" s="36">
        <v>0.0</v>
      </c>
      <c r="G53" s="37">
        <v>0.0</v>
      </c>
      <c r="H53" s="36">
        <v>0.0</v>
      </c>
      <c r="I53" s="36">
        <v>0.0</v>
      </c>
      <c r="J53" s="37">
        <v>153.0</v>
      </c>
      <c r="K53" s="36">
        <v>0.0</v>
      </c>
      <c r="L53" s="53" t="b">
        <v>0</v>
      </c>
      <c r="M53" s="33" t="s">
        <v>898</v>
      </c>
      <c r="N53" s="55">
        <f t="shared" si="1"/>
        <v>0</v>
      </c>
    </row>
    <row r="54">
      <c r="A54" s="52" t="s">
        <v>899</v>
      </c>
      <c r="B54" s="48" t="s">
        <v>900</v>
      </c>
      <c r="C54" s="35" t="s">
        <v>901</v>
      </c>
      <c r="D54" s="33" t="s">
        <v>902</v>
      </c>
      <c r="E54" s="35" t="s">
        <v>870</v>
      </c>
      <c r="F54" s="36">
        <v>1.0</v>
      </c>
      <c r="G54" s="37">
        <v>0.0</v>
      </c>
      <c r="H54" s="36">
        <v>0.0</v>
      </c>
      <c r="I54" s="36">
        <v>0.0</v>
      </c>
      <c r="J54" s="37">
        <v>134.0</v>
      </c>
      <c r="K54" s="36">
        <v>0.0</v>
      </c>
      <c r="L54" s="53" t="b">
        <v>0</v>
      </c>
      <c r="M54" s="33" t="s">
        <v>903</v>
      </c>
      <c r="N54" s="55">
        <f t="shared" si="1"/>
        <v>0</v>
      </c>
    </row>
    <row r="55">
      <c r="A55" s="52" t="s">
        <v>904</v>
      </c>
      <c r="B55" s="48" t="s">
        <v>905</v>
      </c>
      <c r="C55" s="35" t="s">
        <v>906</v>
      </c>
      <c r="D55" s="33" t="s">
        <v>907</v>
      </c>
      <c r="E55" s="35" t="s">
        <v>870</v>
      </c>
      <c r="F55" s="36">
        <v>2.0</v>
      </c>
      <c r="G55" s="37">
        <v>0.0</v>
      </c>
      <c r="H55" s="36">
        <v>1.0</v>
      </c>
      <c r="I55" s="36">
        <v>0.0</v>
      </c>
      <c r="J55" s="37">
        <v>151.0</v>
      </c>
      <c r="K55" s="36">
        <v>0.0</v>
      </c>
      <c r="L55" s="53" t="b">
        <v>0</v>
      </c>
      <c r="M55" s="54"/>
      <c r="N55" s="55">
        <f t="shared" si="1"/>
        <v>1</v>
      </c>
    </row>
    <row r="56">
      <c r="A56" s="52" t="s">
        <v>866</v>
      </c>
      <c r="B56" s="48" t="s">
        <v>867</v>
      </c>
      <c r="C56" s="35" t="s">
        <v>868</v>
      </c>
      <c r="D56" s="33" t="s">
        <v>869</v>
      </c>
      <c r="E56" s="35" t="s">
        <v>870</v>
      </c>
      <c r="F56" s="36">
        <v>3.0</v>
      </c>
      <c r="G56" s="37">
        <v>0.0</v>
      </c>
      <c r="H56" s="36">
        <v>0.0</v>
      </c>
      <c r="I56" s="36">
        <v>0.0</v>
      </c>
      <c r="J56" s="37">
        <v>316.0</v>
      </c>
      <c r="K56" s="36">
        <v>0.0</v>
      </c>
      <c r="L56" s="53" t="b">
        <v>0</v>
      </c>
      <c r="M56" s="54"/>
      <c r="N56" s="55">
        <f t="shared" si="1"/>
        <v>0</v>
      </c>
    </row>
    <row r="57">
      <c r="A57" s="52" t="s">
        <v>871</v>
      </c>
      <c r="B57" s="48" t="s">
        <v>872</v>
      </c>
      <c r="C57" s="35" t="s">
        <v>873</v>
      </c>
      <c r="D57" s="33" t="s">
        <v>874</v>
      </c>
      <c r="E57" s="35" t="s">
        <v>870</v>
      </c>
      <c r="F57" s="36">
        <v>0.0</v>
      </c>
      <c r="G57" s="37">
        <v>0.0</v>
      </c>
      <c r="H57" s="36">
        <v>0.0</v>
      </c>
      <c r="I57" s="36">
        <v>0.0</v>
      </c>
      <c r="J57" s="37">
        <v>251.0</v>
      </c>
      <c r="K57" s="36">
        <v>0.0</v>
      </c>
      <c r="L57" s="53" t="b">
        <v>0</v>
      </c>
      <c r="M57" s="54"/>
      <c r="N57" s="55">
        <f t="shared" si="1"/>
        <v>0</v>
      </c>
    </row>
    <row r="58">
      <c r="A58" s="52" t="s">
        <v>875</v>
      </c>
      <c r="B58" s="48" t="s">
        <v>876</v>
      </c>
      <c r="C58" s="35" t="s">
        <v>877</v>
      </c>
      <c r="D58" s="33" t="s">
        <v>878</v>
      </c>
      <c r="E58" s="35" t="s">
        <v>870</v>
      </c>
      <c r="F58" s="36">
        <v>1.0</v>
      </c>
      <c r="G58" s="37">
        <v>0.0</v>
      </c>
      <c r="H58" s="36">
        <v>0.0</v>
      </c>
      <c r="I58" s="36">
        <v>0.0</v>
      </c>
      <c r="J58" s="37">
        <v>224.0</v>
      </c>
      <c r="K58" s="36">
        <v>0.0</v>
      </c>
      <c r="L58" s="53" t="b">
        <v>0</v>
      </c>
      <c r="M58" s="33" t="s">
        <v>879</v>
      </c>
      <c r="N58" s="55">
        <f t="shared" si="1"/>
        <v>0</v>
      </c>
    </row>
    <row r="59">
      <c r="A59" s="52" t="s">
        <v>880</v>
      </c>
      <c r="B59" s="48" t="s">
        <v>881</v>
      </c>
      <c r="C59" s="35" t="s">
        <v>882</v>
      </c>
      <c r="D59" s="33" t="s">
        <v>883</v>
      </c>
      <c r="E59" s="35" t="s">
        <v>870</v>
      </c>
      <c r="F59" s="36">
        <v>1.0</v>
      </c>
      <c r="G59" s="37">
        <v>0.0</v>
      </c>
      <c r="H59" s="36">
        <v>0.0</v>
      </c>
      <c r="I59" s="36">
        <v>0.0</v>
      </c>
      <c r="J59" s="37">
        <v>169.0</v>
      </c>
      <c r="K59" s="36">
        <v>0.0</v>
      </c>
      <c r="L59" s="53" t="b">
        <v>0</v>
      </c>
      <c r="M59" s="33" t="s">
        <v>884</v>
      </c>
      <c r="N59" s="55">
        <f t="shared" si="1"/>
        <v>0</v>
      </c>
    </row>
    <row r="60">
      <c r="A60" s="52" t="s">
        <v>885</v>
      </c>
      <c r="B60" s="48" t="s">
        <v>886</v>
      </c>
      <c r="C60" s="35" t="s">
        <v>887</v>
      </c>
      <c r="D60" s="33" t="s">
        <v>888</v>
      </c>
      <c r="E60" s="35" t="s">
        <v>870</v>
      </c>
      <c r="F60" s="36">
        <v>3.0</v>
      </c>
      <c r="G60" s="37">
        <v>0.0</v>
      </c>
      <c r="H60" s="36">
        <v>0.0</v>
      </c>
      <c r="I60" s="36">
        <v>0.0</v>
      </c>
      <c r="J60" s="37">
        <v>165.0</v>
      </c>
      <c r="K60" s="36">
        <v>0.0</v>
      </c>
      <c r="L60" s="53" t="b">
        <v>0</v>
      </c>
      <c r="M60" s="54"/>
      <c r="N60" s="55">
        <f t="shared" si="1"/>
        <v>0</v>
      </c>
    </row>
    <row r="61">
      <c r="A61" s="52" t="s">
        <v>889</v>
      </c>
      <c r="B61" s="48" t="s">
        <v>890</v>
      </c>
      <c r="C61" s="35" t="s">
        <v>891</v>
      </c>
      <c r="D61" s="33" t="s">
        <v>892</v>
      </c>
      <c r="E61" s="35" t="s">
        <v>870</v>
      </c>
      <c r="F61" s="36">
        <v>2.0</v>
      </c>
      <c r="G61" s="37">
        <v>0.0</v>
      </c>
      <c r="H61" s="36">
        <v>1.0</v>
      </c>
      <c r="I61" s="36">
        <v>0.0</v>
      </c>
      <c r="J61" s="37">
        <v>165.0</v>
      </c>
      <c r="K61" s="36">
        <v>0.0</v>
      </c>
      <c r="L61" s="53" t="b">
        <v>0</v>
      </c>
      <c r="M61" s="33" t="s">
        <v>893</v>
      </c>
      <c r="N61" s="55">
        <f t="shared" si="1"/>
        <v>1</v>
      </c>
    </row>
    <row r="62">
      <c r="A62" s="52" t="s">
        <v>894</v>
      </c>
      <c r="B62" s="48" t="s">
        <v>895</v>
      </c>
      <c r="C62" s="35" t="s">
        <v>896</v>
      </c>
      <c r="D62" s="33" t="s">
        <v>897</v>
      </c>
      <c r="E62" s="35" t="s">
        <v>870</v>
      </c>
      <c r="F62" s="36">
        <v>0.0</v>
      </c>
      <c r="G62" s="37">
        <v>0.0</v>
      </c>
      <c r="H62" s="36">
        <v>0.0</v>
      </c>
      <c r="I62" s="36">
        <v>0.0</v>
      </c>
      <c r="J62" s="37">
        <v>152.0</v>
      </c>
      <c r="K62" s="36">
        <v>0.0</v>
      </c>
      <c r="L62" s="53" t="b">
        <v>0</v>
      </c>
      <c r="M62" s="33" t="s">
        <v>898</v>
      </c>
      <c r="N62" s="55">
        <f t="shared" si="1"/>
        <v>0</v>
      </c>
    </row>
    <row r="63">
      <c r="A63" s="52" t="s">
        <v>899</v>
      </c>
      <c r="B63" s="48" t="s">
        <v>900</v>
      </c>
      <c r="C63" s="35" t="s">
        <v>901</v>
      </c>
      <c r="D63" s="33" t="s">
        <v>902</v>
      </c>
      <c r="E63" s="35" t="s">
        <v>870</v>
      </c>
      <c r="F63" s="36">
        <v>1.0</v>
      </c>
      <c r="G63" s="37">
        <v>0.0</v>
      </c>
      <c r="H63" s="36">
        <v>0.0</v>
      </c>
      <c r="I63" s="36">
        <v>0.0</v>
      </c>
      <c r="J63" s="37">
        <v>134.0</v>
      </c>
      <c r="K63" s="36">
        <v>0.0</v>
      </c>
      <c r="L63" s="53" t="b">
        <v>0</v>
      </c>
      <c r="M63" s="33" t="s">
        <v>903</v>
      </c>
      <c r="N63" s="55">
        <f t="shared" si="1"/>
        <v>0</v>
      </c>
    </row>
    <row r="64">
      <c r="A64" s="52" t="s">
        <v>904</v>
      </c>
      <c r="B64" s="48" t="s">
        <v>905</v>
      </c>
      <c r="C64" s="35" t="s">
        <v>906</v>
      </c>
      <c r="D64" s="33" t="s">
        <v>907</v>
      </c>
      <c r="E64" s="35" t="s">
        <v>870</v>
      </c>
      <c r="F64" s="36">
        <v>2.0</v>
      </c>
      <c r="G64" s="37">
        <v>0.0</v>
      </c>
      <c r="H64" s="36">
        <v>1.0</v>
      </c>
      <c r="I64" s="36">
        <v>0.0</v>
      </c>
      <c r="J64" s="37">
        <v>151.0</v>
      </c>
      <c r="K64" s="36">
        <v>0.0</v>
      </c>
      <c r="L64" s="53" t="b">
        <v>0</v>
      </c>
      <c r="M64" s="54"/>
      <c r="N64" s="55">
        <f t="shared" si="1"/>
        <v>1</v>
      </c>
    </row>
    <row r="65">
      <c r="A65" s="52" t="s">
        <v>866</v>
      </c>
      <c r="B65" s="48" t="s">
        <v>867</v>
      </c>
      <c r="C65" s="35" t="s">
        <v>868</v>
      </c>
      <c r="D65" s="33" t="s">
        <v>869</v>
      </c>
      <c r="E65" s="35" t="s">
        <v>870</v>
      </c>
      <c r="F65" s="36">
        <v>3.0</v>
      </c>
      <c r="G65" s="37">
        <v>0.0</v>
      </c>
      <c r="H65" s="36">
        <v>0.0</v>
      </c>
      <c r="I65" s="36">
        <v>0.0</v>
      </c>
      <c r="J65" s="37">
        <v>317.0</v>
      </c>
      <c r="K65" s="36">
        <v>0.0</v>
      </c>
      <c r="L65" s="53" t="b">
        <v>0</v>
      </c>
      <c r="M65" s="54"/>
      <c r="N65" s="55">
        <f t="shared" si="1"/>
        <v>0</v>
      </c>
    </row>
    <row r="66">
      <c r="A66" s="52" t="s">
        <v>871</v>
      </c>
      <c r="B66" s="48" t="s">
        <v>872</v>
      </c>
      <c r="C66" s="35" t="s">
        <v>873</v>
      </c>
      <c r="D66" s="33" t="s">
        <v>874</v>
      </c>
      <c r="E66" s="35" t="s">
        <v>870</v>
      </c>
      <c r="F66" s="36">
        <v>0.0</v>
      </c>
      <c r="G66" s="37">
        <v>0.0</v>
      </c>
      <c r="H66" s="36">
        <v>0.0</v>
      </c>
      <c r="I66" s="36">
        <v>0.0</v>
      </c>
      <c r="J66" s="37">
        <v>251.0</v>
      </c>
      <c r="K66" s="36">
        <v>0.0</v>
      </c>
      <c r="L66" s="53" t="b">
        <v>0</v>
      </c>
      <c r="M66" s="54"/>
      <c r="N66" s="55">
        <f t="shared" si="1"/>
        <v>0</v>
      </c>
    </row>
    <row r="67">
      <c r="A67" s="52" t="s">
        <v>875</v>
      </c>
      <c r="B67" s="48" t="s">
        <v>876</v>
      </c>
      <c r="C67" s="35" t="s">
        <v>877</v>
      </c>
      <c r="D67" s="33" t="s">
        <v>878</v>
      </c>
      <c r="E67" s="35" t="s">
        <v>870</v>
      </c>
      <c r="F67" s="36">
        <v>1.0</v>
      </c>
      <c r="G67" s="37">
        <v>0.0</v>
      </c>
      <c r="H67" s="36">
        <v>0.0</v>
      </c>
      <c r="I67" s="36">
        <v>0.0</v>
      </c>
      <c r="J67" s="37">
        <v>224.0</v>
      </c>
      <c r="K67" s="36">
        <v>0.0</v>
      </c>
      <c r="L67" s="53" t="b">
        <v>0</v>
      </c>
      <c r="M67" s="33" t="s">
        <v>879</v>
      </c>
      <c r="N67" s="55">
        <f t="shared" si="1"/>
        <v>0</v>
      </c>
    </row>
    <row r="68">
      <c r="A68" s="52" t="s">
        <v>880</v>
      </c>
      <c r="B68" s="48" t="s">
        <v>881</v>
      </c>
      <c r="C68" s="35" t="s">
        <v>882</v>
      </c>
      <c r="D68" s="33" t="s">
        <v>883</v>
      </c>
      <c r="E68" s="35" t="s">
        <v>870</v>
      </c>
      <c r="F68" s="36">
        <v>1.0</v>
      </c>
      <c r="G68" s="37">
        <v>0.0</v>
      </c>
      <c r="H68" s="36">
        <v>0.0</v>
      </c>
      <c r="I68" s="36">
        <v>0.0</v>
      </c>
      <c r="J68" s="37">
        <v>169.0</v>
      </c>
      <c r="K68" s="36">
        <v>0.0</v>
      </c>
      <c r="L68" s="53" t="b">
        <v>0</v>
      </c>
      <c r="M68" s="33" t="s">
        <v>884</v>
      </c>
      <c r="N68" s="55">
        <f t="shared" si="1"/>
        <v>0</v>
      </c>
    </row>
    <row r="69">
      <c r="A69" s="52" t="s">
        <v>885</v>
      </c>
      <c r="B69" s="48" t="s">
        <v>886</v>
      </c>
      <c r="C69" s="35" t="s">
        <v>887</v>
      </c>
      <c r="D69" s="33" t="s">
        <v>888</v>
      </c>
      <c r="E69" s="35" t="s">
        <v>870</v>
      </c>
      <c r="F69" s="36">
        <v>3.0</v>
      </c>
      <c r="G69" s="37">
        <v>0.0</v>
      </c>
      <c r="H69" s="36">
        <v>0.0</v>
      </c>
      <c r="I69" s="36">
        <v>0.0</v>
      </c>
      <c r="J69" s="37">
        <v>165.0</v>
      </c>
      <c r="K69" s="36">
        <v>0.0</v>
      </c>
      <c r="L69" s="53" t="b">
        <v>0</v>
      </c>
      <c r="M69" s="54"/>
      <c r="N69" s="55">
        <f t="shared" si="1"/>
        <v>0</v>
      </c>
    </row>
    <row r="70">
      <c r="A70" s="52" t="s">
        <v>889</v>
      </c>
      <c r="B70" s="48" t="s">
        <v>890</v>
      </c>
      <c r="C70" s="35" t="s">
        <v>891</v>
      </c>
      <c r="D70" s="33" t="s">
        <v>892</v>
      </c>
      <c r="E70" s="35" t="s">
        <v>870</v>
      </c>
      <c r="F70" s="36">
        <v>2.0</v>
      </c>
      <c r="G70" s="37">
        <v>0.0</v>
      </c>
      <c r="H70" s="36">
        <v>1.0</v>
      </c>
      <c r="I70" s="36">
        <v>0.0</v>
      </c>
      <c r="J70" s="37">
        <v>165.0</v>
      </c>
      <c r="K70" s="36">
        <v>0.0</v>
      </c>
      <c r="L70" s="53" t="b">
        <v>0</v>
      </c>
      <c r="M70" s="33" t="s">
        <v>893</v>
      </c>
      <c r="N70" s="55">
        <f t="shared" si="1"/>
        <v>1</v>
      </c>
    </row>
    <row r="71">
      <c r="A71" s="52" t="s">
        <v>894</v>
      </c>
      <c r="B71" s="48" t="s">
        <v>895</v>
      </c>
      <c r="C71" s="35" t="s">
        <v>896</v>
      </c>
      <c r="D71" s="33" t="s">
        <v>897</v>
      </c>
      <c r="E71" s="35" t="s">
        <v>870</v>
      </c>
      <c r="F71" s="36">
        <v>0.0</v>
      </c>
      <c r="G71" s="37">
        <v>0.0</v>
      </c>
      <c r="H71" s="36">
        <v>0.0</v>
      </c>
      <c r="I71" s="36">
        <v>0.0</v>
      </c>
      <c r="J71" s="37">
        <v>153.0</v>
      </c>
      <c r="K71" s="36">
        <v>0.0</v>
      </c>
      <c r="L71" s="53" t="b">
        <v>0</v>
      </c>
      <c r="M71" s="33" t="s">
        <v>898</v>
      </c>
      <c r="N71" s="55">
        <f t="shared" si="1"/>
        <v>0</v>
      </c>
    </row>
    <row r="72">
      <c r="A72" s="52" t="s">
        <v>899</v>
      </c>
      <c r="B72" s="48" t="s">
        <v>900</v>
      </c>
      <c r="C72" s="35" t="s">
        <v>901</v>
      </c>
      <c r="D72" s="33" t="s">
        <v>902</v>
      </c>
      <c r="E72" s="35" t="s">
        <v>870</v>
      </c>
      <c r="F72" s="36">
        <v>1.0</v>
      </c>
      <c r="G72" s="37">
        <v>0.0</v>
      </c>
      <c r="H72" s="36">
        <v>0.0</v>
      </c>
      <c r="I72" s="36">
        <v>0.0</v>
      </c>
      <c r="J72" s="37">
        <v>134.0</v>
      </c>
      <c r="K72" s="36">
        <v>0.0</v>
      </c>
      <c r="L72" s="53" t="b">
        <v>0</v>
      </c>
      <c r="M72" s="33" t="s">
        <v>903</v>
      </c>
      <c r="N72" s="55">
        <f t="shared" si="1"/>
        <v>0</v>
      </c>
    </row>
    <row r="73">
      <c r="A73" s="52" t="s">
        <v>904</v>
      </c>
      <c r="B73" s="48" t="s">
        <v>905</v>
      </c>
      <c r="C73" s="35" t="s">
        <v>906</v>
      </c>
      <c r="D73" s="33" t="s">
        <v>907</v>
      </c>
      <c r="E73" s="35" t="s">
        <v>870</v>
      </c>
      <c r="F73" s="36">
        <v>2.0</v>
      </c>
      <c r="G73" s="37">
        <v>0.0</v>
      </c>
      <c r="H73" s="36">
        <v>1.0</v>
      </c>
      <c r="I73" s="36">
        <v>0.0</v>
      </c>
      <c r="J73" s="37">
        <v>151.0</v>
      </c>
      <c r="K73" s="36">
        <v>0.0</v>
      </c>
      <c r="L73" s="53" t="b">
        <v>0</v>
      </c>
      <c r="M73" s="54"/>
      <c r="N73" s="55">
        <f t="shared" si="1"/>
        <v>1</v>
      </c>
    </row>
    <row r="74">
      <c r="A74" s="52" t="s">
        <v>866</v>
      </c>
      <c r="B74" s="48" t="s">
        <v>867</v>
      </c>
      <c r="C74" s="35" t="s">
        <v>868</v>
      </c>
      <c r="D74" s="33" t="s">
        <v>869</v>
      </c>
      <c r="E74" s="35" t="s">
        <v>870</v>
      </c>
      <c r="F74" s="36">
        <v>3.0</v>
      </c>
      <c r="G74" s="37">
        <v>0.0</v>
      </c>
      <c r="H74" s="36">
        <v>0.0</v>
      </c>
      <c r="I74" s="36">
        <v>0.0</v>
      </c>
      <c r="J74" s="37">
        <v>317.0</v>
      </c>
      <c r="K74" s="36">
        <v>0.0</v>
      </c>
      <c r="L74" s="53" t="b">
        <v>0</v>
      </c>
      <c r="M74" s="54"/>
      <c r="N74" s="55">
        <f t="shared" si="1"/>
        <v>0</v>
      </c>
    </row>
    <row r="75">
      <c r="A75" s="52" t="s">
        <v>871</v>
      </c>
      <c r="B75" s="48" t="s">
        <v>872</v>
      </c>
      <c r="C75" s="35" t="s">
        <v>873</v>
      </c>
      <c r="D75" s="33" t="s">
        <v>874</v>
      </c>
      <c r="E75" s="35" t="s">
        <v>870</v>
      </c>
      <c r="F75" s="36">
        <v>0.0</v>
      </c>
      <c r="G75" s="37">
        <v>0.0</v>
      </c>
      <c r="H75" s="36">
        <v>0.0</v>
      </c>
      <c r="I75" s="36">
        <v>0.0</v>
      </c>
      <c r="J75" s="37">
        <v>251.0</v>
      </c>
      <c r="K75" s="36">
        <v>0.0</v>
      </c>
      <c r="L75" s="53" t="b">
        <v>0</v>
      </c>
      <c r="M75" s="54"/>
      <c r="N75" s="55">
        <f t="shared" si="1"/>
        <v>0</v>
      </c>
    </row>
    <row r="76">
      <c r="A76" s="52" t="s">
        <v>875</v>
      </c>
      <c r="B76" s="48" t="s">
        <v>876</v>
      </c>
      <c r="C76" s="35" t="s">
        <v>877</v>
      </c>
      <c r="D76" s="33" t="s">
        <v>878</v>
      </c>
      <c r="E76" s="35" t="s">
        <v>870</v>
      </c>
      <c r="F76" s="36">
        <v>1.0</v>
      </c>
      <c r="G76" s="37">
        <v>0.0</v>
      </c>
      <c r="H76" s="36">
        <v>0.0</v>
      </c>
      <c r="I76" s="36">
        <v>0.0</v>
      </c>
      <c r="J76" s="37">
        <v>224.0</v>
      </c>
      <c r="K76" s="36">
        <v>0.0</v>
      </c>
      <c r="L76" s="53" t="b">
        <v>0</v>
      </c>
      <c r="M76" s="33" t="s">
        <v>879</v>
      </c>
      <c r="N76" s="55">
        <f t="shared" si="1"/>
        <v>0</v>
      </c>
    </row>
    <row r="77">
      <c r="A77" s="52" t="s">
        <v>880</v>
      </c>
      <c r="B77" s="48" t="s">
        <v>881</v>
      </c>
      <c r="C77" s="35" t="s">
        <v>882</v>
      </c>
      <c r="D77" s="33" t="s">
        <v>883</v>
      </c>
      <c r="E77" s="35" t="s">
        <v>870</v>
      </c>
      <c r="F77" s="36">
        <v>1.0</v>
      </c>
      <c r="G77" s="37">
        <v>0.0</v>
      </c>
      <c r="H77" s="36">
        <v>0.0</v>
      </c>
      <c r="I77" s="36">
        <v>0.0</v>
      </c>
      <c r="J77" s="37">
        <v>169.0</v>
      </c>
      <c r="K77" s="36">
        <v>0.0</v>
      </c>
      <c r="L77" s="53" t="b">
        <v>0</v>
      </c>
      <c r="M77" s="33" t="s">
        <v>884</v>
      </c>
      <c r="N77" s="55">
        <f t="shared" si="1"/>
        <v>0</v>
      </c>
    </row>
    <row r="78">
      <c r="A78" s="52" t="s">
        <v>885</v>
      </c>
      <c r="B78" s="48" t="s">
        <v>886</v>
      </c>
      <c r="C78" s="35" t="s">
        <v>887</v>
      </c>
      <c r="D78" s="33" t="s">
        <v>888</v>
      </c>
      <c r="E78" s="35" t="s">
        <v>870</v>
      </c>
      <c r="F78" s="36">
        <v>3.0</v>
      </c>
      <c r="G78" s="37">
        <v>0.0</v>
      </c>
      <c r="H78" s="36">
        <v>0.0</v>
      </c>
      <c r="I78" s="36">
        <v>0.0</v>
      </c>
      <c r="J78" s="37">
        <v>165.0</v>
      </c>
      <c r="K78" s="36">
        <v>0.0</v>
      </c>
      <c r="L78" s="53" t="b">
        <v>0</v>
      </c>
      <c r="M78" s="54"/>
      <c r="N78" s="55">
        <f t="shared" si="1"/>
        <v>0</v>
      </c>
    </row>
    <row r="79">
      <c r="A79" s="52" t="s">
        <v>889</v>
      </c>
      <c r="B79" s="48" t="s">
        <v>890</v>
      </c>
      <c r="C79" s="35" t="s">
        <v>891</v>
      </c>
      <c r="D79" s="33" t="s">
        <v>892</v>
      </c>
      <c r="E79" s="35" t="s">
        <v>870</v>
      </c>
      <c r="F79" s="36">
        <v>2.0</v>
      </c>
      <c r="G79" s="37">
        <v>0.0</v>
      </c>
      <c r="H79" s="36">
        <v>1.0</v>
      </c>
      <c r="I79" s="36">
        <v>0.0</v>
      </c>
      <c r="J79" s="37">
        <v>165.0</v>
      </c>
      <c r="K79" s="36">
        <v>0.0</v>
      </c>
      <c r="L79" s="53" t="b">
        <v>0</v>
      </c>
      <c r="M79" s="33" t="s">
        <v>893</v>
      </c>
      <c r="N79" s="55">
        <f t="shared" si="1"/>
        <v>1</v>
      </c>
    </row>
    <row r="80">
      <c r="A80" s="52" t="s">
        <v>894</v>
      </c>
      <c r="B80" s="48" t="s">
        <v>895</v>
      </c>
      <c r="C80" s="35" t="s">
        <v>896</v>
      </c>
      <c r="D80" s="33" t="s">
        <v>897</v>
      </c>
      <c r="E80" s="35" t="s">
        <v>870</v>
      </c>
      <c r="F80" s="36">
        <v>0.0</v>
      </c>
      <c r="G80" s="37">
        <v>0.0</v>
      </c>
      <c r="H80" s="36">
        <v>0.0</v>
      </c>
      <c r="I80" s="36">
        <v>0.0</v>
      </c>
      <c r="J80" s="37">
        <v>153.0</v>
      </c>
      <c r="K80" s="36">
        <v>0.0</v>
      </c>
      <c r="L80" s="53" t="b">
        <v>0</v>
      </c>
      <c r="M80" s="33" t="s">
        <v>898</v>
      </c>
      <c r="N80" s="55">
        <f t="shared" si="1"/>
        <v>0</v>
      </c>
    </row>
    <row r="81">
      <c r="A81" s="52" t="s">
        <v>899</v>
      </c>
      <c r="B81" s="48" t="s">
        <v>900</v>
      </c>
      <c r="C81" s="35" t="s">
        <v>901</v>
      </c>
      <c r="D81" s="33" t="s">
        <v>902</v>
      </c>
      <c r="E81" s="35" t="s">
        <v>870</v>
      </c>
      <c r="F81" s="36">
        <v>1.0</v>
      </c>
      <c r="G81" s="37">
        <v>0.0</v>
      </c>
      <c r="H81" s="36">
        <v>0.0</v>
      </c>
      <c r="I81" s="36">
        <v>0.0</v>
      </c>
      <c r="J81" s="37">
        <v>134.0</v>
      </c>
      <c r="K81" s="36">
        <v>0.0</v>
      </c>
      <c r="L81" s="53" t="b">
        <v>0</v>
      </c>
      <c r="M81" s="33" t="s">
        <v>903</v>
      </c>
      <c r="N81" s="55">
        <f t="shared" si="1"/>
        <v>0</v>
      </c>
    </row>
    <row r="82">
      <c r="A82" s="52" t="s">
        <v>904</v>
      </c>
      <c r="B82" s="48" t="s">
        <v>905</v>
      </c>
      <c r="C82" s="35" t="s">
        <v>906</v>
      </c>
      <c r="D82" s="33" t="s">
        <v>907</v>
      </c>
      <c r="E82" s="35" t="s">
        <v>870</v>
      </c>
      <c r="F82" s="36">
        <v>2.0</v>
      </c>
      <c r="G82" s="37">
        <v>0.0</v>
      </c>
      <c r="H82" s="36">
        <v>1.0</v>
      </c>
      <c r="I82" s="36">
        <v>0.0</v>
      </c>
      <c r="J82" s="37">
        <v>151.0</v>
      </c>
      <c r="K82" s="36">
        <v>0.0</v>
      </c>
      <c r="L82" s="53" t="b">
        <v>0</v>
      </c>
      <c r="M82" s="54"/>
      <c r="N82" s="55">
        <f t="shared" si="1"/>
        <v>1</v>
      </c>
    </row>
    <row r="83">
      <c r="A83" s="52" t="s">
        <v>866</v>
      </c>
      <c r="B83" s="48" t="s">
        <v>867</v>
      </c>
      <c r="C83" s="35" t="s">
        <v>868</v>
      </c>
      <c r="D83" s="33" t="s">
        <v>869</v>
      </c>
      <c r="E83" s="35" t="s">
        <v>870</v>
      </c>
      <c r="F83" s="36">
        <v>3.0</v>
      </c>
      <c r="G83" s="37">
        <v>0.0</v>
      </c>
      <c r="H83" s="36">
        <v>0.0</v>
      </c>
      <c r="I83" s="36">
        <v>0.0</v>
      </c>
      <c r="J83" s="37">
        <v>317.0</v>
      </c>
      <c r="K83" s="36">
        <v>0.0</v>
      </c>
      <c r="L83" s="53" t="b">
        <v>0</v>
      </c>
      <c r="M83" s="54"/>
      <c r="N83" s="55">
        <f t="shared" si="1"/>
        <v>0</v>
      </c>
    </row>
    <row r="84">
      <c r="A84" s="52" t="s">
        <v>871</v>
      </c>
      <c r="B84" s="48" t="s">
        <v>872</v>
      </c>
      <c r="C84" s="35" t="s">
        <v>873</v>
      </c>
      <c r="D84" s="33" t="s">
        <v>874</v>
      </c>
      <c r="E84" s="35" t="s">
        <v>870</v>
      </c>
      <c r="F84" s="36">
        <v>0.0</v>
      </c>
      <c r="G84" s="37">
        <v>0.0</v>
      </c>
      <c r="H84" s="36">
        <v>0.0</v>
      </c>
      <c r="I84" s="36">
        <v>0.0</v>
      </c>
      <c r="J84" s="37">
        <v>251.0</v>
      </c>
      <c r="K84" s="36">
        <v>0.0</v>
      </c>
      <c r="L84" s="53" t="b">
        <v>0</v>
      </c>
      <c r="M84" s="54"/>
      <c r="N84" s="55">
        <f t="shared" si="1"/>
        <v>0</v>
      </c>
    </row>
    <row r="85">
      <c r="A85" s="52" t="s">
        <v>875</v>
      </c>
      <c r="B85" s="48" t="s">
        <v>876</v>
      </c>
      <c r="C85" s="35" t="s">
        <v>877</v>
      </c>
      <c r="D85" s="33" t="s">
        <v>878</v>
      </c>
      <c r="E85" s="35" t="s">
        <v>870</v>
      </c>
      <c r="F85" s="36">
        <v>1.0</v>
      </c>
      <c r="G85" s="37">
        <v>0.0</v>
      </c>
      <c r="H85" s="36">
        <v>0.0</v>
      </c>
      <c r="I85" s="36">
        <v>0.0</v>
      </c>
      <c r="J85" s="37">
        <v>224.0</v>
      </c>
      <c r="K85" s="36">
        <v>0.0</v>
      </c>
      <c r="L85" s="53" t="b">
        <v>0</v>
      </c>
      <c r="M85" s="33" t="s">
        <v>879</v>
      </c>
      <c r="N85" s="55">
        <f t="shared" si="1"/>
        <v>0</v>
      </c>
    </row>
    <row r="86">
      <c r="A86" s="52" t="s">
        <v>880</v>
      </c>
      <c r="B86" s="48" t="s">
        <v>881</v>
      </c>
      <c r="C86" s="35" t="s">
        <v>882</v>
      </c>
      <c r="D86" s="33" t="s">
        <v>883</v>
      </c>
      <c r="E86" s="35" t="s">
        <v>870</v>
      </c>
      <c r="F86" s="36">
        <v>1.0</v>
      </c>
      <c r="G86" s="37">
        <v>0.0</v>
      </c>
      <c r="H86" s="36">
        <v>0.0</v>
      </c>
      <c r="I86" s="36">
        <v>0.0</v>
      </c>
      <c r="J86" s="37">
        <v>169.0</v>
      </c>
      <c r="K86" s="36">
        <v>0.0</v>
      </c>
      <c r="L86" s="53" t="b">
        <v>0</v>
      </c>
      <c r="M86" s="33" t="s">
        <v>884</v>
      </c>
      <c r="N86" s="55">
        <f t="shared" si="1"/>
        <v>0</v>
      </c>
    </row>
    <row r="87">
      <c r="A87" s="52" t="s">
        <v>885</v>
      </c>
      <c r="B87" s="48" t="s">
        <v>886</v>
      </c>
      <c r="C87" s="35" t="s">
        <v>887</v>
      </c>
      <c r="D87" s="33" t="s">
        <v>888</v>
      </c>
      <c r="E87" s="35" t="s">
        <v>870</v>
      </c>
      <c r="F87" s="36">
        <v>3.0</v>
      </c>
      <c r="G87" s="37">
        <v>0.0</v>
      </c>
      <c r="H87" s="36">
        <v>0.0</v>
      </c>
      <c r="I87" s="36">
        <v>0.0</v>
      </c>
      <c r="J87" s="37">
        <v>165.0</v>
      </c>
      <c r="K87" s="36">
        <v>0.0</v>
      </c>
      <c r="L87" s="53" t="b">
        <v>0</v>
      </c>
      <c r="M87" s="54"/>
      <c r="N87" s="55">
        <f t="shared" si="1"/>
        <v>0</v>
      </c>
    </row>
    <row r="88">
      <c r="A88" s="52" t="s">
        <v>889</v>
      </c>
      <c r="B88" s="48" t="s">
        <v>890</v>
      </c>
      <c r="C88" s="35" t="s">
        <v>891</v>
      </c>
      <c r="D88" s="33" t="s">
        <v>892</v>
      </c>
      <c r="E88" s="35" t="s">
        <v>870</v>
      </c>
      <c r="F88" s="36">
        <v>2.0</v>
      </c>
      <c r="G88" s="37">
        <v>0.0</v>
      </c>
      <c r="H88" s="36">
        <v>1.0</v>
      </c>
      <c r="I88" s="36">
        <v>0.0</v>
      </c>
      <c r="J88" s="37">
        <v>165.0</v>
      </c>
      <c r="K88" s="36">
        <v>0.0</v>
      </c>
      <c r="L88" s="53" t="b">
        <v>0</v>
      </c>
      <c r="M88" s="33" t="s">
        <v>893</v>
      </c>
      <c r="N88" s="55">
        <f t="shared" si="1"/>
        <v>1</v>
      </c>
    </row>
    <row r="89">
      <c r="A89" s="52" t="s">
        <v>894</v>
      </c>
      <c r="B89" s="48" t="s">
        <v>895</v>
      </c>
      <c r="C89" s="35" t="s">
        <v>896</v>
      </c>
      <c r="D89" s="33" t="s">
        <v>897</v>
      </c>
      <c r="E89" s="35" t="s">
        <v>870</v>
      </c>
      <c r="F89" s="36">
        <v>0.0</v>
      </c>
      <c r="G89" s="37">
        <v>0.0</v>
      </c>
      <c r="H89" s="36">
        <v>0.0</v>
      </c>
      <c r="I89" s="36">
        <v>0.0</v>
      </c>
      <c r="J89" s="37">
        <v>153.0</v>
      </c>
      <c r="K89" s="36">
        <v>0.0</v>
      </c>
      <c r="L89" s="53" t="b">
        <v>0</v>
      </c>
      <c r="M89" s="33" t="s">
        <v>898</v>
      </c>
      <c r="N89" s="55">
        <f t="shared" si="1"/>
        <v>0</v>
      </c>
    </row>
    <row r="90">
      <c r="A90" s="52" t="s">
        <v>899</v>
      </c>
      <c r="B90" s="48" t="s">
        <v>900</v>
      </c>
      <c r="C90" s="35" t="s">
        <v>901</v>
      </c>
      <c r="D90" s="33" t="s">
        <v>902</v>
      </c>
      <c r="E90" s="35" t="s">
        <v>870</v>
      </c>
      <c r="F90" s="36">
        <v>1.0</v>
      </c>
      <c r="G90" s="37">
        <v>0.0</v>
      </c>
      <c r="H90" s="36">
        <v>0.0</v>
      </c>
      <c r="I90" s="36">
        <v>0.0</v>
      </c>
      <c r="J90" s="37">
        <v>134.0</v>
      </c>
      <c r="K90" s="36">
        <v>0.0</v>
      </c>
      <c r="L90" s="53" t="b">
        <v>0</v>
      </c>
      <c r="M90" s="33" t="s">
        <v>903</v>
      </c>
      <c r="N90" s="55">
        <f t="shared" si="1"/>
        <v>0</v>
      </c>
    </row>
    <row r="91">
      <c r="A91" s="52" t="s">
        <v>904</v>
      </c>
      <c r="B91" s="48" t="s">
        <v>905</v>
      </c>
      <c r="C91" s="35" t="s">
        <v>906</v>
      </c>
      <c r="D91" s="33" t="s">
        <v>907</v>
      </c>
      <c r="E91" s="35" t="s">
        <v>870</v>
      </c>
      <c r="F91" s="36">
        <v>2.0</v>
      </c>
      <c r="G91" s="37">
        <v>0.0</v>
      </c>
      <c r="H91" s="36">
        <v>1.0</v>
      </c>
      <c r="I91" s="36">
        <v>0.0</v>
      </c>
      <c r="J91" s="37">
        <v>151.0</v>
      </c>
      <c r="K91" s="36">
        <v>0.0</v>
      </c>
      <c r="L91" s="53" t="b">
        <v>0</v>
      </c>
      <c r="M91" s="54"/>
      <c r="N91" s="55">
        <f t="shared" si="1"/>
        <v>1</v>
      </c>
    </row>
    <row r="92">
      <c r="A92" s="52" t="s">
        <v>866</v>
      </c>
      <c r="B92" s="48" t="s">
        <v>867</v>
      </c>
      <c r="C92" s="35" t="s">
        <v>868</v>
      </c>
      <c r="D92" s="33" t="s">
        <v>869</v>
      </c>
      <c r="E92" s="35" t="s">
        <v>870</v>
      </c>
      <c r="F92" s="36">
        <v>3.0</v>
      </c>
      <c r="G92" s="37">
        <v>0.0</v>
      </c>
      <c r="H92" s="36">
        <v>0.0</v>
      </c>
      <c r="I92" s="36">
        <v>0.0</v>
      </c>
      <c r="J92" s="37">
        <v>317.0</v>
      </c>
      <c r="K92" s="36">
        <v>0.0</v>
      </c>
      <c r="L92" s="53" t="b">
        <v>0</v>
      </c>
      <c r="M92" s="54"/>
      <c r="N92" s="55">
        <f t="shared" si="1"/>
        <v>0</v>
      </c>
    </row>
    <row r="93">
      <c r="A93" s="52" t="s">
        <v>871</v>
      </c>
      <c r="B93" s="48" t="s">
        <v>872</v>
      </c>
      <c r="C93" s="35" t="s">
        <v>873</v>
      </c>
      <c r="D93" s="33" t="s">
        <v>874</v>
      </c>
      <c r="E93" s="35" t="s">
        <v>870</v>
      </c>
      <c r="F93" s="36">
        <v>0.0</v>
      </c>
      <c r="G93" s="37">
        <v>0.0</v>
      </c>
      <c r="H93" s="36">
        <v>0.0</v>
      </c>
      <c r="I93" s="36">
        <v>0.0</v>
      </c>
      <c r="J93" s="37">
        <v>251.0</v>
      </c>
      <c r="K93" s="36">
        <v>0.0</v>
      </c>
      <c r="L93" s="53" t="b">
        <v>0</v>
      </c>
      <c r="M93" s="54"/>
      <c r="N93" s="55">
        <f t="shared" si="1"/>
        <v>0</v>
      </c>
    </row>
    <row r="94">
      <c r="A94" s="52" t="s">
        <v>875</v>
      </c>
      <c r="B94" s="48" t="s">
        <v>876</v>
      </c>
      <c r="C94" s="35" t="s">
        <v>877</v>
      </c>
      <c r="D94" s="33" t="s">
        <v>878</v>
      </c>
      <c r="E94" s="35" t="s">
        <v>870</v>
      </c>
      <c r="F94" s="36">
        <v>1.0</v>
      </c>
      <c r="G94" s="37">
        <v>0.0</v>
      </c>
      <c r="H94" s="36">
        <v>0.0</v>
      </c>
      <c r="I94" s="36">
        <v>0.0</v>
      </c>
      <c r="J94" s="37">
        <v>224.0</v>
      </c>
      <c r="K94" s="36">
        <v>0.0</v>
      </c>
      <c r="L94" s="53" t="b">
        <v>0</v>
      </c>
      <c r="M94" s="33" t="s">
        <v>879</v>
      </c>
      <c r="N94" s="55">
        <f t="shared" si="1"/>
        <v>0</v>
      </c>
    </row>
    <row r="95">
      <c r="A95" s="52" t="s">
        <v>880</v>
      </c>
      <c r="B95" s="48" t="s">
        <v>881</v>
      </c>
      <c r="C95" s="35" t="s">
        <v>882</v>
      </c>
      <c r="D95" s="33" t="s">
        <v>883</v>
      </c>
      <c r="E95" s="35" t="s">
        <v>870</v>
      </c>
      <c r="F95" s="36">
        <v>1.0</v>
      </c>
      <c r="G95" s="37">
        <v>0.0</v>
      </c>
      <c r="H95" s="36">
        <v>0.0</v>
      </c>
      <c r="I95" s="36">
        <v>0.0</v>
      </c>
      <c r="J95" s="37">
        <v>169.0</v>
      </c>
      <c r="K95" s="36">
        <v>0.0</v>
      </c>
      <c r="L95" s="53" t="b">
        <v>0</v>
      </c>
      <c r="M95" s="33" t="s">
        <v>884</v>
      </c>
      <c r="N95" s="55">
        <f t="shared" si="1"/>
        <v>0</v>
      </c>
    </row>
    <row r="96">
      <c r="A96" s="52" t="s">
        <v>885</v>
      </c>
      <c r="B96" s="48" t="s">
        <v>886</v>
      </c>
      <c r="C96" s="35" t="s">
        <v>887</v>
      </c>
      <c r="D96" s="33" t="s">
        <v>888</v>
      </c>
      <c r="E96" s="35" t="s">
        <v>870</v>
      </c>
      <c r="F96" s="36">
        <v>3.0</v>
      </c>
      <c r="G96" s="37">
        <v>0.0</v>
      </c>
      <c r="H96" s="36">
        <v>0.0</v>
      </c>
      <c r="I96" s="36">
        <v>0.0</v>
      </c>
      <c r="J96" s="37">
        <v>165.0</v>
      </c>
      <c r="K96" s="36">
        <v>0.0</v>
      </c>
      <c r="L96" s="53" t="b">
        <v>0</v>
      </c>
      <c r="M96" s="54"/>
      <c r="N96" s="55">
        <f t="shared" si="1"/>
        <v>0</v>
      </c>
    </row>
    <row r="97">
      <c r="A97" s="52" t="s">
        <v>889</v>
      </c>
      <c r="B97" s="48" t="s">
        <v>890</v>
      </c>
      <c r="C97" s="35" t="s">
        <v>891</v>
      </c>
      <c r="D97" s="33" t="s">
        <v>892</v>
      </c>
      <c r="E97" s="35" t="s">
        <v>870</v>
      </c>
      <c r="F97" s="36">
        <v>2.0</v>
      </c>
      <c r="G97" s="37">
        <v>0.0</v>
      </c>
      <c r="H97" s="36">
        <v>1.0</v>
      </c>
      <c r="I97" s="36">
        <v>0.0</v>
      </c>
      <c r="J97" s="37">
        <v>165.0</v>
      </c>
      <c r="K97" s="36">
        <v>0.0</v>
      </c>
      <c r="L97" s="53" t="b">
        <v>0</v>
      </c>
      <c r="M97" s="33" t="s">
        <v>893</v>
      </c>
      <c r="N97" s="55">
        <f t="shared" si="1"/>
        <v>1</v>
      </c>
    </row>
    <row r="98">
      <c r="A98" s="52" t="s">
        <v>894</v>
      </c>
      <c r="B98" s="48" t="s">
        <v>895</v>
      </c>
      <c r="C98" s="35" t="s">
        <v>896</v>
      </c>
      <c r="D98" s="33" t="s">
        <v>897</v>
      </c>
      <c r="E98" s="35" t="s">
        <v>870</v>
      </c>
      <c r="F98" s="36">
        <v>0.0</v>
      </c>
      <c r="G98" s="37">
        <v>0.0</v>
      </c>
      <c r="H98" s="36">
        <v>0.0</v>
      </c>
      <c r="I98" s="36">
        <v>0.0</v>
      </c>
      <c r="J98" s="37">
        <v>153.0</v>
      </c>
      <c r="K98" s="36">
        <v>0.0</v>
      </c>
      <c r="L98" s="53" t="b">
        <v>0</v>
      </c>
      <c r="M98" s="33" t="s">
        <v>898</v>
      </c>
      <c r="N98" s="55">
        <f t="shared" si="1"/>
        <v>0</v>
      </c>
    </row>
    <row r="99">
      <c r="A99" s="52" t="s">
        <v>899</v>
      </c>
      <c r="B99" s="48" t="s">
        <v>900</v>
      </c>
      <c r="C99" s="35" t="s">
        <v>901</v>
      </c>
      <c r="D99" s="33" t="s">
        <v>902</v>
      </c>
      <c r="E99" s="35" t="s">
        <v>870</v>
      </c>
      <c r="F99" s="36">
        <v>1.0</v>
      </c>
      <c r="G99" s="37">
        <v>0.0</v>
      </c>
      <c r="H99" s="36">
        <v>0.0</v>
      </c>
      <c r="I99" s="36">
        <v>0.0</v>
      </c>
      <c r="J99" s="37">
        <v>134.0</v>
      </c>
      <c r="K99" s="36">
        <v>0.0</v>
      </c>
      <c r="L99" s="53" t="b">
        <v>0</v>
      </c>
      <c r="M99" s="33" t="s">
        <v>903</v>
      </c>
      <c r="N99" s="55">
        <f t="shared" si="1"/>
        <v>0</v>
      </c>
    </row>
    <row r="100">
      <c r="A100" s="52" t="s">
        <v>904</v>
      </c>
      <c r="B100" s="48" t="s">
        <v>905</v>
      </c>
      <c r="C100" s="35" t="s">
        <v>906</v>
      </c>
      <c r="D100" s="33" t="s">
        <v>907</v>
      </c>
      <c r="E100" s="35" t="s">
        <v>870</v>
      </c>
      <c r="F100" s="36">
        <v>2.0</v>
      </c>
      <c r="G100" s="37">
        <v>0.0</v>
      </c>
      <c r="H100" s="36">
        <v>1.0</v>
      </c>
      <c r="I100" s="36">
        <v>0.0</v>
      </c>
      <c r="J100" s="37">
        <v>151.0</v>
      </c>
      <c r="K100" s="36">
        <v>0.0</v>
      </c>
      <c r="L100" s="53" t="b">
        <v>0</v>
      </c>
      <c r="M100" s="54"/>
      <c r="N100" s="55">
        <f t="shared" si="1"/>
        <v>1</v>
      </c>
    </row>
    <row r="101">
      <c r="A101" s="52" t="s">
        <v>866</v>
      </c>
      <c r="B101" s="48" t="s">
        <v>867</v>
      </c>
      <c r="C101" s="35" t="s">
        <v>868</v>
      </c>
      <c r="D101" s="33" t="s">
        <v>869</v>
      </c>
      <c r="E101" s="35" t="s">
        <v>870</v>
      </c>
      <c r="F101" s="36">
        <v>3.0</v>
      </c>
      <c r="G101" s="37">
        <v>0.0</v>
      </c>
      <c r="H101" s="36">
        <v>0.0</v>
      </c>
      <c r="I101" s="36">
        <v>0.0</v>
      </c>
      <c r="J101" s="37">
        <v>317.0</v>
      </c>
      <c r="K101" s="36">
        <v>0.0</v>
      </c>
      <c r="L101" s="53" t="b">
        <v>0</v>
      </c>
      <c r="M101" s="54"/>
      <c r="N101" s="55">
        <f t="shared" si="1"/>
        <v>0</v>
      </c>
    </row>
    <row r="102">
      <c r="A102" s="52" t="s">
        <v>871</v>
      </c>
      <c r="B102" s="48" t="s">
        <v>872</v>
      </c>
      <c r="C102" s="35" t="s">
        <v>873</v>
      </c>
      <c r="D102" s="33" t="s">
        <v>874</v>
      </c>
      <c r="E102" s="35" t="s">
        <v>870</v>
      </c>
      <c r="F102" s="36">
        <v>0.0</v>
      </c>
      <c r="G102" s="37">
        <v>0.0</v>
      </c>
      <c r="H102" s="36">
        <v>0.0</v>
      </c>
      <c r="I102" s="36">
        <v>0.0</v>
      </c>
      <c r="J102" s="37">
        <v>251.0</v>
      </c>
      <c r="K102" s="36">
        <v>0.0</v>
      </c>
      <c r="L102" s="53" t="b">
        <v>0</v>
      </c>
      <c r="M102" s="54"/>
      <c r="N102" s="55">
        <f t="shared" si="1"/>
        <v>0</v>
      </c>
    </row>
    <row r="103">
      <c r="A103" s="52" t="s">
        <v>875</v>
      </c>
      <c r="B103" s="48" t="s">
        <v>876</v>
      </c>
      <c r="C103" s="35" t="s">
        <v>877</v>
      </c>
      <c r="D103" s="33" t="s">
        <v>878</v>
      </c>
      <c r="E103" s="35" t="s">
        <v>870</v>
      </c>
      <c r="F103" s="36">
        <v>1.0</v>
      </c>
      <c r="G103" s="37">
        <v>0.0</v>
      </c>
      <c r="H103" s="36">
        <v>0.0</v>
      </c>
      <c r="I103" s="36">
        <v>0.0</v>
      </c>
      <c r="J103" s="37">
        <v>224.0</v>
      </c>
      <c r="K103" s="36">
        <v>0.0</v>
      </c>
      <c r="L103" s="53" t="b">
        <v>0</v>
      </c>
      <c r="M103" s="33" t="s">
        <v>879</v>
      </c>
      <c r="N103" s="55">
        <f t="shared" si="1"/>
        <v>0</v>
      </c>
    </row>
    <row r="104">
      <c r="A104" s="52" t="s">
        <v>880</v>
      </c>
      <c r="B104" s="48" t="s">
        <v>881</v>
      </c>
      <c r="C104" s="35" t="s">
        <v>882</v>
      </c>
      <c r="D104" s="33" t="s">
        <v>883</v>
      </c>
      <c r="E104" s="35" t="s">
        <v>870</v>
      </c>
      <c r="F104" s="36">
        <v>1.0</v>
      </c>
      <c r="G104" s="37">
        <v>0.0</v>
      </c>
      <c r="H104" s="36">
        <v>0.0</v>
      </c>
      <c r="I104" s="36">
        <v>0.0</v>
      </c>
      <c r="J104" s="37">
        <v>169.0</v>
      </c>
      <c r="K104" s="36">
        <v>0.0</v>
      </c>
      <c r="L104" s="53" t="b">
        <v>0</v>
      </c>
      <c r="M104" s="33" t="s">
        <v>884</v>
      </c>
      <c r="N104" s="55">
        <f t="shared" si="1"/>
        <v>0</v>
      </c>
    </row>
    <row r="105">
      <c r="A105" s="52" t="s">
        <v>885</v>
      </c>
      <c r="B105" s="48" t="s">
        <v>886</v>
      </c>
      <c r="C105" s="35" t="s">
        <v>887</v>
      </c>
      <c r="D105" s="33" t="s">
        <v>888</v>
      </c>
      <c r="E105" s="35" t="s">
        <v>870</v>
      </c>
      <c r="F105" s="36">
        <v>3.0</v>
      </c>
      <c r="G105" s="37">
        <v>0.0</v>
      </c>
      <c r="H105" s="36">
        <v>0.0</v>
      </c>
      <c r="I105" s="36">
        <v>0.0</v>
      </c>
      <c r="J105" s="37">
        <v>165.0</v>
      </c>
      <c r="K105" s="36">
        <v>0.0</v>
      </c>
      <c r="L105" s="53" t="b">
        <v>0</v>
      </c>
      <c r="M105" s="54"/>
      <c r="N105" s="55">
        <f t="shared" si="1"/>
        <v>0</v>
      </c>
    </row>
    <row r="106">
      <c r="A106" s="52" t="s">
        <v>889</v>
      </c>
      <c r="B106" s="48" t="s">
        <v>890</v>
      </c>
      <c r="C106" s="35" t="s">
        <v>891</v>
      </c>
      <c r="D106" s="33" t="s">
        <v>892</v>
      </c>
      <c r="E106" s="35" t="s">
        <v>870</v>
      </c>
      <c r="F106" s="36">
        <v>2.0</v>
      </c>
      <c r="G106" s="37">
        <v>0.0</v>
      </c>
      <c r="H106" s="36">
        <v>1.0</v>
      </c>
      <c r="I106" s="36">
        <v>0.0</v>
      </c>
      <c r="J106" s="37">
        <v>165.0</v>
      </c>
      <c r="K106" s="36">
        <v>0.0</v>
      </c>
      <c r="L106" s="53" t="b">
        <v>0</v>
      </c>
      <c r="M106" s="33" t="s">
        <v>893</v>
      </c>
      <c r="N106" s="55">
        <f t="shared" si="1"/>
        <v>1</v>
      </c>
    </row>
    <row r="107">
      <c r="A107" s="52" t="s">
        <v>894</v>
      </c>
      <c r="B107" s="48" t="s">
        <v>895</v>
      </c>
      <c r="C107" s="35" t="s">
        <v>896</v>
      </c>
      <c r="D107" s="33" t="s">
        <v>897</v>
      </c>
      <c r="E107" s="35" t="s">
        <v>870</v>
      </c>
      <c r="F107" s="36">
        <v>0.0</v>
      </c>
      <c r="G107" s="37">
        <v>0.0</v>
      </c>
      <c r="H107" s="36">
        <v>0.0</v>
      </c>
      <c r="I107" s="36">
        <v>0.0</v>
      </c>
      <c r="J107" s="37">
        <v>153.0</v>
      </c>
      <c r="K107" s="36">
        <v>0.0</v>
      </c>
      <c r="L107" s="53" t="b">
        <v>0</v>
      </c>
      <c r="M107" s="33" t="s">
        <v>898</v>
      </c>
      <c r="N107" s="55">
        <f t="shared" si="1"/>
        <v>0</v>
      </c>
    </row>
    <row r="108">
      <c r="A108" s="52" t="s">
        <v>899</v>
      </c>
      <c r="B108" s="48" t="s">
        <v>900</v>
      </c>
      <c r="C108" s="35" t="s">
        <v>901</v>
      </c>
      <c r="D108" s="33" t="s">
        <v>902</v>
      </c>
      <c r="E108" s="35" t="s">
        <v>870</v>
      </c>
      <c r="F108" s="36">
        <v>1.0</v>
      </c>
      <c r="G108" s="37">
        <v>0.0</v>
      </c>
      <c r="H108" s="36">
        <v>0.0</v>
      </c>
      <c r="I108" s="36">
        <v>0.0</v>
      </c>
      <c r="J108" s="37">
        <v>134.0</v>
      </c>
      <c r="K108" s="36">
        <v>0.0</v>
      </c>
      <c r="L108" s="53" t="b">
        <v>0</v>
      </c>
      <c r="M108" s="33" t="s">
        <v>903</v>
      </c>
      <c r="N108" s="55">
        <f t="shared" si="1"/>
        <v>0</v>
      </c>
    </row>
    <row r="109">
      <c r="A109" s="52" t="s">
        <v>904</v>
      </c>
      <c r="B109" s="48" t="s">
        <v>905</v>
      </c>
      <c r="C109" s="35" t="s">
        <v>906</v>
      </c>
      <c r="D109" s="33" t="s">
        <v>907</v>
      </c>
      <c r="E109" s="35" t="s">
        <v>870</v>
      </c>
      <c r="F109" s="36">
        <v>2.0</v>
      </c>
      <c r="G109" s="37">
        <v>0.0</v>
      </c>
      <c r="H109" s="36">
        <v>1.0</v>
      </c>
      <c r="I109" s="36">
        <v>0.0</v>
      </c>
      <c r="J109" s="37">
        <v>151.0</v>
      </c>
      <c r="K109" s="36">
        <v>0.0</v>
      </c>
      <c r="L109" s="53" t="b">
        <v>0</v>
      </c>
      <c r="M109" s="54"/>
      <c r="N109" s="55">
        <f t="shared" si="1"/>
        <v>1</v>
      </c>
    </row>
    <row r="110">
      <c r="A110" s="52" t="s">
        <v>866</v>
      </c>
      <c r="B110" s="48" t="s">
        <v>867</v>
      </c>
      <c r="C110" s="35" t="s">
        <v>868</v>
      </c>
      <c r="D110" s="33" t="s">
        <v>869</v>
      </c>
      <c r="E110" s="35" t="s">
        <v>870</v>
      </c>
      <c r="F110" s="36">
        <v>3.0</v>
      </c>
      <c r="G110" s="37">
        <v>0.0</v>
      </c>
      <c r="H110" s="36">
        <v>0.0</v>
      </c>
      <c r="I110" s="36">
        <v>0.0</v>
      </c>
      <c r="J110" s="37">
        <v>317.0</v>
      </c>
      <c r="K110" s="36">
        <v>0.0</v>
      </c>
      <c r="L110" s="53" t="b">
        <v>0</v>
      </c>
      <c r="M110" s="54"/>
      <c r="N110" s="55">
        <f t="shared" si="1"/>
        <v>0</v>
      </c>
    </row>
    <row r="111">
      <c r="A111" s="52" t="s">
        <v>871</v>
      </c>
      <c r="B111" s="48" t="s">
        <v>872</v>
      </c>
      <c r="C111" s="35" t="s">
        <v>873</v>
      </c>
      <c r="D111" s="33" t="s">
        <v>874</v>
      </c>
      <c r="E111" s="35" t="s">
        <v>870</v>
      </c>
      <c r="F111" s="36">
        <v>0.0</v>
      </c>
      <c r="G111" s="37">
        <v>0.0</v>
      </c>
      <c r="H111" s="36">
        <v>0.0</v>
      </c>
      <c r="I111" s="36">
        <v>0.0</v>
      </c>
      <c r="J111" s="37">
        <v>251.0</v>
      </c>
      <c r="K111" s="36">
        <v>0.0</v>
      </c>
      <c r="L111" s="53" t="b">
        <v>0</v>
      </c>
      <c r="M111" s="54"/>
      <c r="N111" s="55">
        <f t="shared" si="1"/>
        <v>0</v>
      </c>
    </row>
    <row r="112">
      <c r="A112" s="52" t="s">
        <v>875</v>
      </c>
      <c r="B112" s="48" t="s">
        <v>876</v>
      </c>
      <c r="C112" s="35" t="s">
        <v>877</v>
      </c>
      <c r="D112" s="33" t="s">
        <v>878</v>
      </c>
      <c r="E112" s="35" t="s">
        <v>870</v>
      </c>
      <c r="F112" s="36">
        <v>1.0</v>
      </c>
      <c r="G112" s="37">
        <v>0.0</v>
      </c>
      <c r="H112" s="36">
        <v>0.0</v>
      </c>
      <c r="I112" s="36">
        <v>0.0</v>
      </c>
      <c r="J112" s="37">
        <v>224.0</v>
      </c>
      <c r="K112" s="36">
        <v>0.0</v>
      </c>
      <c r="L112" s="53" t="b">
        <v>0</v>
      </c>
      <c r="M112" s="33" t="s">
        <v>879</v>
      </c>
      <c r="N112" s="55">
        <f t="shared" si="1"/>
        <v>0</v>
      </c>
    </row>
    <row r="113">
      <c r="A113" s="52" t="s">
        <v>880</v>
      </c>
      <c r="B113" s="48" t="s">
        <v>881</v>
      </c>
      <c r="C113" s="35" t="s">
        <v>882</v>
      </c>
      <c r="D113" s="33" t="s">
        <v>883</v>
      </c>
      <c r="E113" s="35" t="s">
        <v>870</v>
      </c>
      <c r="F113" s="36">
        <v>1.0</v>
      </c>
      <c r="G113" s="37">
        <v>0.0</v>
      </c>
      <c r="H113" s="36">
        <v>0.0</v>
      </c>
      <c r="I113" s="36">
        <v>0.0</v>
      </c>
      <c r="J113" s="37">
        <v>169.0</v>
      </c>
      <c r="K113" s="36">
        <v>0.0</v>
      </c>
      <c r="L113" s="53" t="b">
        <v>0</v>
      </c>
      <c r="M113" s="33" t="s">
        <v>884</v>
      </c>
      <c r="N113" s="55">
        <f t="shared" si="1"/>
        <v>0</v>
      </c>
    </row>
    <row r="114">
      <c r="A114" s="52" t="s">
        <v>885</v>
      </c>
      <c r="B114" s="48" t="s">
        <v>886</v>
      </c>
      <c r="C114" s="35" t="s">
        <v>887</v>
      </c>
      <c r="D114" s="33" t="s">
        <v>888</v>
      </c>
      <c r="E114" s="35" t="s">
        <v>870</v>
      </c>
      <c r="F114" s="36">
        <v>3.0</v>
      </c>
      <c r="G114" s="37">
        <v>0.0</v>
      </c>
      <c r="H114" s="36">
        <v>0.0</v>
      </c>
      <c r="I114" s="36">
        <v>0.0</v>
      </c>
      <c r="J114" s="37">
        <v>165.0</v>
      </c>
      <c r="K114" s="36">
        <v>0.0</v>
      </c>
      <c r="L114" s="53" t="b">
        <v>0</v>
      </c>
      <c r="M114" s="54"/>
      <c r="N114" s="55">
        <f t="shared" si="1"/>
        <v>0</v>
      </c>
    </row>
    <row r="115">
      <c r="A115" s="52" t="s">
        <v>889</v>
      </c>
      <c r="B115" s="48" t="s">
        <v>890</v>
      </c>
      <c r="C115" s="35" t="s">
        <v>891</v>
      </c>
      <c r="D115" s="33" t="s">
        <v>892</v>
      </c>
      <c r="E115" s="35" t="s">
        <v>870</v>
      </c>
      <c r="F115" s="36">
        <v>2.0</v>
      </c>
      <c r="G115" s="37">
        <v>0.0</v>
      </c>
      <c r="H115" s="36">
        <v>1.0</v>
      </c>
      <c r="I115" s="36">
        <v>0.0</v>
      </c>
      <c r="J115" s="37">
        <v>165.0</v>
      </c>
      <c r="K115" s="36">
        <v>0.0</v>
      </c>
      <c r="L115" s="53" t="b">
        <v>0</v>
      </c>
      <c r="M115" s="33" t="s">
        <v>893</v>
      </c>
      <c r="N115" s="55">
        <f t="shared" si="1"/>
        <v>1</v>
      </c>
    </row>
    <row r="116">
      <c r="A116" s="52" t="s">
        <v>894</v>
      </c>
      <c r="B116" s="48" t="s">
        <v>895</v>
      </c>
      <c r="C116" s="35" t="s">
        <v>896</v>
      </c>
      <c r="D116" s="33" t="s">
        <v>897</v>
      </c>
      <c r="E116" s="35" t="s">
        <v>870</v>
      </c>
      <c r="F116" s="36">
        <v>0.0</v>
      </c>
      <c r="G116" s="37">
        <v>0.0</v>
      </c>
      <c r="H116" s="36">
        <v>0.0</v>
      </c>
      <c r="I116" s="36">
        <v>0.0</v>
      </c>
      <c r="J116" s="37">
        <v>153.0</v>
      </c>
      <c r="K116" s="36">
        <v>0.0</v>
      </c>
      <c r="L116" s="53" t="b">
        <v>0</v>
      </c>
      <c r="M116" s="33" t="s">
        <v>898</v>
      </c>
      <c r="N116" s="55">
        <f t="shared" si="1"/>
        <v>0</v>
      </c>
    </row>
    <row r="117">
      <c r="A117" s="52" t="s">
        <v>899</v>
      </c>
      <c r="B117" s="48" t="s">
        <v>900</v>
      </c>
      <c r="C117" s="35" t="s">
        <v>901</v>
      </c>
      <c r="D117" s="33" t="s">
        <v>902</v>
      </c>
      <c r="E117" s="35" t="s">
        <v>870</v>
      </c>
      <c r="F117" s="36">
        <v>1.0</v>
      </c>
      <c r="G117" s="37">
        <v>0.0</v>
      </c>
      <c r="H117" s="36">
        <v>0.0</v>
      </c>
      <c r="I117" s="36">
        <v>0.0</v>
      </c>
      <c r="J117" s="37">
        <v>134.0</v>
      </c>
      <c r="K117" s="36">
        <v>0.0</v>
      </c>
      <c r="L117" s="53" t="b">
        <v>0</v>
      </c>
      <c r="M117" s="33" t="s">
        <v>903</v>
      </c>
      <c r="N117" s="55">
        <f t="shared" si="1"/>
        <v>0</v>
      </c>
    </row>
    <row r="118">
      <c r="A118" s="52" t="s">
        <v>904</v>
      </c>
      <c r="B118" s="48" t="s">
        <v>905</v>
      </c>
      <c r="C118" s="35" t="s">
        <v>906</v>
      </c>
      <c r="D118" s="33" t="s">
        <v>907</v>
      </c>
      <c r="E118" s="35" t="s">
        <v>870</v>
      </c>
      <c r="F118" s="36">
        <v>2.0</v>
      </c>
      <c r="G118" s="37">
        <v>0.0</v>
      </c>
      <c r="H118" s="36">
        <v>1.0</v>
      </c>
      <c r="I118" s="36">
        <v>0.0</v>
      </c>
      <c r="J118" s="37">
        <v>151.0</v>
      </c>
      <c r="K118" s="36">
        <v>0.0</v>
      </c>
      <c r="L118" s="53" t="b">
        <v>0</v>
      </c>
      <c r="M118" s="54"/>
      <c r="N118" s="55">
        <f t="shared" si="1"/>
        <v>1</v>
      </c>
    </row>
    <row r="119">
      <c r="A119" s="52" t="s">
        <v>866</v>
      </c>
      <c r="B119" s="48" t="s">
        <v>867</v>
      </c>
      <c r="C119" s="35" t="s">
        <v>868</v>
      </c>
      <c r="D119" s="33" t="s">
        <v>869</v>
      </c>
      <c r="E119" s="35" t="s">
        <v>870</v>
      </c>
      <c r="F119" s="36">
        <v>3.0</v>
      </c>
      <c r="G119" s="37">
        <v>0.0</v>
      </c>
      <c r="H119" s="36">
        <v>0.0</v>
      </c>
      <c r="I119" s="36">
        <v>0.0</v>
      </c>
      <c r="J119" s="37">
        <v>316.0</v>
      </c>
      <c r="K119" s="36">
        <v>0.0</v>
      </c>
      <c r="L119" s="53" t="b">
        <v>0</v>
      </c>
      <c r="M119" s="54"/>
      <c r="N119" s="55">
        <f t="shared" si="1"/>
        <v>0</v>
      </c>
    </row>
    <row r="120">
      <c r="A120" s="52" t="s">
        <v>871</v>
      </c>
      <c r="B120" s="48" t="s">
        <v>872</v>
      </c>
      <c r="C120" s="35" t="s">
        <v>873</v>
      </c>
      <c r="D120" s="33" t="s">
        <v>874</v>
      </c>
      <c r="E120" s="35" t="s">
        <v>870</v>
      </c>
      <c r="F120" s="36">
        <v>0.0</v>
      </c>
      <c r="G120" s="37">
        <v>0.0</v>
      </c>
      <c r="H120" s="36">
        <v>0.0</v>
      </c>
      <c r="I120" s="36">
        <v>0.0</v>
      </c>
      <c r="J120" s="37">
        <v>251.0</v>
      </c>
      <c r="K120" s="36">
        <v>0.0</v>
      </c>
      <c r="L120" s="53" t="b">
        <v>0</v>
      </c>
      <c r="M120" s="54"/>
      <c r="N120" s="55">
        <f t="shared" si="1"/>
        <v>0</v>
      </c>
    </row>
    <row r="121">
      <c r="A121" s="52" t="s">
        <v>875</v>
      </c>
      <c r="B121" s="48" t="s">
        <v>876</v>
      </c>
      <c r="C121" s="35" t="s">
        <v>877</v>
      </c>
      <c r="D121" s="33" t="s">
        <v>878</v>
      </c>
      <c r="E121" s="35" t="s">
        <v>870</v>
      </c>
      <c r="F121" s="36">
        <v>1.0</v>
      </c>
      <c r="G121" s="37">
        <v>0.0</v>
      </c>
      <c r="H121" s="36">
        <v>0.0</v>
      </c>
      <c r="I121" s="36">
        <v>0.0</v>
      </c>
      <c r="J121" s="37">
        <v>224.0</v>
      </c>
      <c r="K121" s="36">
        <v>0.0</v>
      </c>
      <c r="L121" s="53" t="b">
        <v>0</v>
      </c>
      <c r="M121" s="33" t="s">
        <v>879</v>
      </c>
      <c r="N121" s="55">
        <f t="shared" si="1"/>
        <v>0</v>
      </c>
    </row>
    <row r="122">
      <c r="A122" s="52" t="s">
        <v>880</v>
      </c>
      <c r="B122" s="48" t="s">
        <v>881</v>
      </c>
      <c r="C122" s="35" t="s">
        <v>882</v>
      </c>
      <c r="D122" s="33" t="s">
        <v>883</v>
      </c>
      <c r="E122" s="35" t="s">
        <v>870</v>
      </c>
      <c r="F122" s="36">
        <v>1.0</v>
      </c>
      <c r="G122" s="37">
        <v>0.0</v>
      </c>
      <c r="H122" s="36">
        <v>0.0</v>
      </c>
      <c r="I122" s="36">
        <v>0.0</v>
      </c>
      <c r="J122" s="37">
        <v>169.0</v>
      </c>
      <c r="K122" s="36">
        <v>0.0</v>
      </c>
      <c r="L122" s="53" t="b">
        <v>0</v>
      </c>
      <c r="M122" s="33" t="s">
        <v>884</v>
      </c>
      <c r="N122" s="55">
        <f t="shared" si="1"/>
        <v>0</v>
      </c>
    </row>
    <row r="123">
      <c r="A123" s="52" t="s">
        <v>885</v>
      </c>
      <c r="B123" s="48" t="s">
        <v>886</v>
      </c>
      <c r="C123" s="35" t="s">
        <v>887</v>
      </c>
      <c r="D123" s="33" t="s">
        <v>888</v>
      </c>
      <c r="E123" s="35" t="s">
        <v>870</v>
      </c>
      <c r="F123" s="36">
        <v>3.0</v>
      </c>
      <c r="G123" s="37">
        <v>0.0</v>
      </c>
      <c r="H123" s="36">
        <v>0.0</v>
      </c>
      <c r="I123" s="36">
        <v>0.0</v>
      </c>
      <c r="J123" s="37">
        <v>165.0</v>
      </c>
      <c r="K123" s="36">
        <v>0.0</v>
      </c>
      <c r="L123" s="53" t="b">
        <v>0</v>
      </c>
      <c r="M123" s="54"/>
      <c r="N123" s="55">
        <f t="shared" si="1"/>
        <v>0</v>
      </c>
    </row>
    <row r="124">
      <c r="A124" s="52" t="s">
        <v>889</v>
      </c>
      <c r="B124" s="48" t="s">
        <v>890</v>
      </c>
      <c r="C124" s="35" t="s">
        <v>891</v>
      </c>
      <c r="D124" s="33" t="s">
        <v>892</v>
      </c>
      <c r="E124" s="35" t="s">
        <v>870</v>
      </c>
      <c r="F124" s="36">
        <v>2.0</v>
      </c>
      <c r="G124" s="37">
        <v>0.0</v>
      </c>
      <c r="H124" s="36">
        <v>1.0</v>
      </c>
      <c r="I124" s="36">
        <v>0.0</v>
      </c>
      <c r="J124" s="37">
        <v>165.0</v>
      </c>
      <c r="K124" s="36">
        <v>0.0</v>
      </c>
      <c r="L124" s="53" t="b">
        <v>0</v>
      </c>
      <c r="M124" s="33" t="s">
        <v>893</v>
      </c>
      <c r="N124" s="55">
        <f t="shared" si="1"/>
        <v>1</v>
      </c>
    </row>
    <row r="125">
      <c r="A125" s="52" t="s">
        <v>894</v>
      </c>
      <c r="B125" s="48" t="s">
        <v>895</v>
      </c>
      <c r="C125" s="35" t="s">
        <v>896</v>
      </c>
      <c r="D125" s="33" t="s">
        <v>897</v>
      </c>
      <c r="E125" s="35" t="s">
        <v>870</v>
      </c>
      <c r="F125" s="36">
        <v>0.0</v>
      </c>
      <c r="G125" s="37">
        <v>0.0</v>
      </c>
      <c r="H125" s="36">
        <v>0.0</v>
      </c>
      <c r="I125" s="36">
        <v>0.0</v>
      </c>
      <c r="J125" s="37">
        <v>152.0</v>
      </c>
      <c r="K125" s="36">
        <v>0.0</v>
      </c>
      <c r="L125" s="53" t="b">
        <v>0</v>
      </c>
      <c r="M125" s="33" t="s">
        <v>898</v>
      </c>
      <c r="N125" s="55">
        <f t="shared" si="1"/>
        <v>0</v>
      </c>
    </row>
    <row r="126">
      <c r="A126" s="52" t="s">
        <v>899</v>
      </c>
      <c r="B126" s="48" t="s">
        <v>900</v>
      </c>
      <c r="C126" s="35" t="s">
        <v>901</v>
      </c>
      <c r="D126" s="33" t="s">
        <v>902</v>
      </c>
      <c r="E126" s="35" t="s">
        <v>870</v>
      </c>
      <c r="F126" s="36">
        <v>1.0</v>
      </c>
      <c r="G126" s="37">
        <v>0.0</v>
      </c>
      <c r="H126" s="36">
        <v>0.0</v>
      </c>
      <c r="I126" s="36">
        <v>0.0</v>
      </c>
      <c r="J126" s="37">
        <v>134.0</v>
      </c>
      <c r="K126" s="36">
        <v>0.0</v>
      </c>
      <c r="L126" s="53" t="b">
        <v>0</v>
      </c>
      <c r="M126" s="33" t="s">
        <v>903</v>
      </c>
      <c r="N126" s="55">
        <f t="shared" si="1"/>
        <v>0</v>
      </c>
    </row>
    <row r="127">
      <c r="A127" s="52" t="s">
        <v>904</v>
      </c>
      <c r="B127" s="48" t="s">
        <v>905</v>
      </c>
      <c r="C127" s="35" t="s">
        <v>906</v>
      </c>
      <c r="D127" s="33" t="s">
        <v>907</v>
      </c>
      <c r="E127" s="35" t="s">
        <v>870</v>
      </c>
      <c r="F127" s="36">
        <v>2.0</v>
      </c>
      <c r="G127" s="37">
        <v>0.0</v>
      </c>
      <c r="H127" s="36">
        <v>1.0</v>
      </c>
      <c r="I127" s="36">
        <v>0.0</v>
      </c>
      <c r="J127" s="37">
        <v>151.0</v>
      </c>
      <c r="K127" s="36">
        <v>0.0</v>
      </c>
      <c r="L127" s="53" t="b">
        <v>0</v>
      </c>
      <c r="M127" s="54"/>
      <c r="N127" s="55">
        <f t="shared" si="1"/>
        <v>1</v>
      </c>
    </row>
    <row r="128">
      <c r="A128" s="52" t="s">
        <v>866</v>
      </c>
      <c r="B128" s="48" t="s">
        <v>867</v>
      </c>
      <c r="C128" s="35" t="s">
        <v>868</v>
      </c>
      <c r="D128" s="33" t="s">
        <v>869</v>
      </c>
      <c r="E128" s="35" t="s">
        <v>870</v>
      </c>
      <c r="F128" s="36">
        <v>3.0</v>
      </c>
      <c r="G128" s="37">
        <v>0.0</v>
      </c>
      <c r="H128" s="36">
        <v>0.0</v>
      </c>
      <c r="I128" s="36">
        <v>0.0</v>
      </c>
      <c r="J128" s="37">
        <v>316.0</v>
      </c>
      <c r="K128" s="36">
        <v>0.0</v>
      </c>
      <c r="L128" s="53" t="b">
        <v>0</v>
      </c>
      <c r="M128" s="54"/>
      <c r="N128" s="55">
        <f t="shared" si="1"/>
        <v>0</v>
      </c>
    </row>
    <row r="129">
      <c r="A129" s="52" t="s">
        <v>871</v>
      </c>
      <c r="B129" s="48" t="s">
        <v>872</v>
      </c>
      <c r="C129" s="35" t="s">
        <v>873</v>
      </c>
      <c r="D129" s="33" t="s">
        <v>874</v>
      </c>
      <c r="E129" s="35" t="s">
        <v>870</v>
      </c>
      <c r="F129" s="36">
        <v>0.0</v>
      </c>
      <c r="G129" s="37">
        <v>0.0</v>
      </c>
      <c r="H129" s="36">
        <v>0.0</v>
      </c>
      <c r="I129" s="36">
        <v>0.0</v>
      </c>
      <c r="J129" s="37">
        <v>251.0</v>
      </c>
      <c r="K129" s="36">
        <v>0.0</v>
      </c>
      <c r="L129" s="53" t="b">
        <v>0</v>
      </c>
      <c r="M129" s="54"/>
      <c r="N129" s="55">
        <f t="shared" si="1"/>
        <v>0</v>
      </c>
    </row>
    <row r="130">
      <c r="A130" s="52" t="s">
        <v>875</v>
      </c>
      <c r="B130" s="48" t="s">
        <v>876</v>
      </c>
      <c r="C130" s="35" t="s">
        <v>877</v>
      </c>
      <c r="D130" s="33" t="s">
        <v>878</v>
      </c>
      <c r="E130" s="35" t="s">
        <v>870</v>
      </c>
      <c r="F130" s="36">
        <v>1.0</v>
      </c>
      <c r="G130" s="37">
        <v>0.0</v>
      </c>
      <c r="H130" s="36">
        <v>0.0</v>
      </c>
      <c r="I130" s="36">
        <v>0.0</v>
      </c>
      <c r="J130" s="37">
        <v>224.0</v>
      </c>
      <c r="K130" s="36">
        <v>0.0</v>
      </c>
      <c r="L130" s="53" t="b">
        <v>0</v>
      </c>
      <c r="M130" s="33" t="s">
        <v>879</v>
      </c>
      <c r="N130" s="55">
        <f t="shared" si="1"/>
        <v>0</v>
      </c>
    </row>
    <row r="131">
      <c r="A131" s="52" t="s">
        <v>880</v>
      </c>
      <c r="B131" s="48" t="s">
        <v>881</v>
      </c>
      <c r="C131" s="35" t="s">
        <v>882</v>
      </c>
      <c r="D131" s="33" t="s">
        <v>883</v>
      </c>
      <c r="E131" s="35" t="s">
        <v>870</v>
      </c>
      <c r="F131" s="36">
        <v>1.0</v>
      </c>
      <c r="G131" s="37">
        <v>0.0</v>
      </c>
      <c r="H131" s="36">
        <v>0.0</v>
      </c>
      <c r="I131" s="36">
        <v>0.0</v>
      </c>
      <c r="J131" s="37">
        <v>169.0</v>
      </c>
      <c r="K131" s="36">
        <v>0.0</v>
      </c>
      <c r="L131" s="53" t="b">
        <v>0</v>
      </c>
      <c r="M131" s="33" t="s">
        <v>884</v>
      </c>
      <c r="N131" s="55">
        <f t="shared" si="1"/>
        <v>0</v>
      </c>
    </row>
    <row r="132">
      <c r="A132" s="52" t="s">
        <v>885</v>
      </c>
      <c r="B132" s="48" t="s">
        <v>886</v>
      </c>
      <c r="C132" s="35" t="s">
        <v>887</v>
      </c>
      <c r="D132" s="33" t="s">
        <v>888</v>
      </c>
      <c r="E132" s="35" t="s">
        <v>870</v>
      </c>
      <c r="F132" s="36">
        <v>3.0</v>
      </c>
      <c r="G132" s="37">
        <v>0.0</v>
      </c>
      <c r="H132" s="36">
        <v>0.0</v>
      </c>
      <c r="I132" s="36">
        <v>0.0</v>
      </c>
      <c r="J132" s="37">
        <v>165.0</v>
      </c>
      <c r="K132" s="36">
        <v>0.0</v>
      </c>
      <c r="L132" s="53" t="b">
        <v>0</v>
      </c>
      <c r="M132" s="54"/>
      <c r="N132" s="55">
        <f t="shared" si="1"/>
        <v>0</v>
      </c>
    </row>
    <row r="133">
      <c r="A133" s="52" t="s">
        <v>889</v>
      </c>
      <c r="B133" s="48" t="s">
        <v>890</v>
      </c>
      <c r="C133" s="35" t="s">
        <v>891</v>
      </c>
      <c r="D133" s="33" t="s">
        <v>892</v>
      </c>
      <c r="E133" s="35" t="s">
        <v>870</v>
      </c>
      <c r="F133" s="36">
        <v>2.0</v>
      </c>
      <c r="G133" s="37">
        <v>0.0</v>
      </c>
      <c r="H133" s="36">
        <v>1.0</v>
      </c>
      <c r="I133" s="36">
        <v>0.0</v>
      </c>
      <c r="J133" s="37">
        <v>165.0</v>
      </c>
      <c r="K133" s="36">
        <v>0.0</v>
      </c>
      <c r="L133" s="53" t="b">
        <v>0</v>
      </c>
      <c r="M133" s="33" t="s">
        <v>893</v>
      </c>
      <c r="N133" s="55">
        <f t="shared" si="1"/>
        <v>1</v>
      </c>
    </row>
    <row r="134">
      <c r="A134" s="52" t="s">
        <v>894</v>
      </c>
      <c r="B134" s="48" t="s">
        <v>895</v>
      </c>
      <c r="C134" s="35" t="s">
        <v>896</v>
      </c>
      <c r="D134" s="33" t="s">
        <v>897</v>
      </c>
      <c r="E134" s="35" t="s">
        <v>870</v>
      </c>
      <c r="F134" s="36">
        <v>0.0</v>
      </c>
      <c r="G134" s="37">
        <v>0.0</v>
      </c>
      <c r="H134" s="36">
        <v>0.0</v>
      </c>
      <c r="I134" s="36">
        <v>0.0</v>
      </c>
      <c r="J134" s="37">
        <v>152.0</v>
      </c>
      <c r="K134" s="36">
        <v>0.0</v>
      </c>
      <c r="L134" s="53" t="b">
        <v>0</v>
      </c>
      <c r="M134" s="33" t="s">
        <v>898</v>
      </c>
      <c r="N134" s="55">
        <f t="shared" si="1"/>
        <v>0</v>
      </c>
    </row>
    <row r="135">
      <c r="A135" s="52" t="s">
        <v>899</v>
      </c>
      <c r="B135" s="48" t="s">
        <v>900</v>
      </c>
      <c r="C135" s="35" t="s">
        <v>901</v>
      </c>
      <c r="D135" s="33" t="s">
        <v>902</v>
      </c>
      <c r="E135" s="35" t="s">
        <v>870</v>
      </c>
      <c r="F135" s="36">
        <v>1.0</v>
      </c>
      <c r="G135" s="37">
        <v>0.0</v>
      </c>
      <c r="H135" s="36">
        <v>0.0</v>
      </c>
      <c r="I135" s="36">
        <v>0.0</v>
      </c>
      <c r="J135" s="37">
        <v>134.0</v>
      </c>
      <c r="K135" s="36">
        <v>0.0</v>
      </c>
      <c r="L135" s="53" t="b">
        <v>0</v>
      </c>
      <c r="M135" s="33" t="s">
        <v>903</v>
      </c>
      <c r="N135" s="55">
        <f t="shared" si="1"/>
        <v>0</v>
      </c>
    </row>
    <row r="136">
      <c r="A136" s="52" t="s">
        <v>904</v>
      </c>
      <c r="B136" s="48" t="s">
        <v>905</v>
      </c>
      <c r="C136" s="35" t="s">
        <v>906</v>
      </c>
      <c r="D136" s="33" t="s">
        <v>907</v>
      </c>
      <c r="E136" s="35" t="s">
        <v>870</v>
      </c>
      <c r="F136" s="36">
        <v>2.0</v>
      </c>
      <c r="G136" s="37">
        <v>0.0</v>
      </c>
      <c r="H136" s="36">
        <v>1.0</v>
      </c>
      <c r="I136" s="36">
        <v>0.0</v>
      </c>
      <c r="J136" s="37">
        <v>151.0</v>
      </c>
      <c r="K136" s="36">
        <v>0.0</v>
      </c>
      <c r="L136" s="53" t="b">
        <v>0</v>
      </c>
      <c r="M136" s="54"/>
      <c r="N136" s="55">
        <f t="shared" si="1"/>
        <v>1</v>
      </c>
    </row>
    <row r="137">
      <c r="A137" s="52" t="s">
        <v>866</v>
      </c>
      <c r="B137" s="48" t="s">
        <v>867</v>
      </c>
      <c r="C137" s="35" t="s">
        <v>868</v>
      </c>
      <c r="D137" s="33" t="s">
        <v>869</v>
      </c>
      <c r="E137" s="35" t="s">
        <v>870</v>
      </c>
      <c r="F137" s="36">
        <v>3.0</v>
      </c>
      <c r="G137" s="37">
        <v>0.0</v>
      </c>
      <c r="H137" s="36">
        <v>0.0</v>
      </c>
      <c r="I137" s="36">
        <v>0.0</v>
      </c>
      <c r="J137" s="37">
        <v>316.0</v>
      </c>
      <c r="K137" s="36">
        <v>0.0</v>
      </c>
      <c r="L137" s="53" t="b">
        <v>0</v>
      </c>
      <c r="M137" s="54"/>
      <c r="N137" s="55">
        <f t="shared" si="1"/>
        <v>0</v>
      </c>
    </row>
    <row r="138">
      <c r="A138" s="52" t="s">
        <v>871</v>
      </c>
      <c r="B138" s="48" t="s">
        <v>872</v>
      </c>
      <c r="C138" s="35" t="s">
        <v>873</v>
      </c>
      <c r="D138" s="33" t="s">
        <v>874</v>
      </c>
      <c r="E138" s="35" t="s">
        <v>870</v>
      </c>
      <c r="F138" s="36">
        <v>0.0</v>
      </c>
      <c r="G138" s="37">
        <v>0.0</v>
      </c>
      <c r="H138" s="36">
        <v>0.0</v>
      </c>
      <c r="I138" s="36">
        <v>0.0</v>
      </c>
      <c r="J138" s="37">
        <v>251.0</v>
      </c>
      <c r="K138" s="36">
        <v>0.0</v>
      </c>
      <c r="L138" s="53" t="b">
        <v>0</v>
      </c>
      <c r="M138" s="54"/>
      <c r="N138" s="55">
        <f t="shared" si="1"/>
        <v>0</v>
      </c>
    </row>
    <row r="139">
      <c r="A139" s="52" t="s">
        <v>875</v>
      </c>
      <c r="B139" s="48" t="s">
        <v>876</v>
      </c>
      <c r="C139" s="35" t="s">
        <v>877</v>
      </c>
      <c r="D139" s="33" t="s">
        <v>878</v>
      </c>
      <c r="E139" s="35" t="s">
        <v>870</v>
      </c>
      <c r="F139" s="36">
        <v>1.0</v>
      </c>
      <c r="G139" s="37">
        <v>0.0</v>
      </c>
      <c r="H139" s="36">
        <v>0.0</v>
      </c>
      <c r="I139" s="36">
        <v>0.0</v>
      </c>
      <c r="J139" s="37">
        <v>224.0</v>
      </c>
      <c r="K139" s="36">
        <v>0.0</v>
      </c>
      <c r="L139" s="53" t="b">
        <v>0</v>
      </c>
      <c r="M139" s="33" t="s">
        <v>879</v>
      </c>
      <c r="N139" s="55">
        <f t="shared" si="1"/>
        <v>0</v>
      </c>
    </row>
    <row r="140">
      <c r="A140" s="52" t="s">
        <v>880</v>
      </c>
      <c r="B140" s="48" t="s">
        <v>881</v>
      </c>
      <c r="C140" s="35" t="s">
        <v>882</v>
      </c>
      <c r="D140" s="33" t="s">
        <v>883</v>
      </c>
      <c r="E140" s="35" t="s">
        <v>870</v>
      </c>
      <c r="F140" s="36">
        <v>1.0</v>
      </c>
      <c r="G140" s="37">
        <v>0.0</v>
      </c>
      <c r="H140" s="36">
        <v>0.0</v>
      </c>
      <c r="I140" s="36">
        <v>0.0</v>
      </c>
      <c r="J140" s="37">
        <v>169.0</v>
      </c>
      <c r="K140" s="36">
        <v>0.0</v>
      </c>
      <c r="L140" s="53" t="b">
        <v>0</v>
      </c>
      <c r="M140" s="33" t="s">
        <v>884</v>
      </c>
      <c r="N140" s="55">
        <f t="shared" si="1"/>
        <v>0</v>
      </c>
    </row>
    <row r="141">
      <c r="A141" s="52" t="s">
        <v>885</v>
      </c>
      <c r="B141" s="48" t="s">
        <v>886</v>
      </c>
      <c r="C141" s="35" t="s">
        <v>887</v>
      </c>
      <c r="D141" s="33" t="s">
        <v>888</v>
      </c>
      <c r="E141" s="35" t="s">
        <v>870</v>
      </c>
      <c r="F141" s="36">
        <v>3.0</v>
      </c>
      <c r="G141" s="37">
        <v>0.0</v>
      </c>
      <c r="H141" s="36">
        <v>0.0</v>
      </c>
      <c r="I141" s="36">
        <v>0.0</v>
      </c>
      <c r="J141" s="37">
        <v>165.0</v>
      </c>
      <c r="K141" s="36">
        <v>0.0</v>
      </c>
      <c r="L141" s="53" t="b">
        <v>0</v>
      </c>
      <c r="M141" s="54"/>
      <c r="N141" s="55">
        <f t="shared" si="1"/>
        <v>0</v>
      </c>
    </row>
    <row r="142">
      <c r="A142" s="52" t="s">
        <v>889</v>
      </c>
      <c r="B142" s="48" t="s">
        <v>890</v>
      </c>
      <c r="C142" s="35" t="s">
        <v>891</v>
      </c>
      <c r="D142" s="33" t="s">
        <v>892</v>
      </c>
      <c r="E142" s="35" t="s">
        <v>870</v>
      </c>
      <c r="F142" s="36">
        <v>2.0</v>
      </c>
      <c r="G142" s="37">
        <v>0.0</v>
      </c>
      <c r="H142" s="36">
        <v>1.0</v>
      </c>
      <c r="I142" s="36">
        <v>0.0</v>
      </c>
      <c r="J142" s="37">
        <v>165.0</v>
      </c>
      <c r="K142" s="36">
        <v>0.0</v>
      </c>
      <c r="L142" s="53" t="b">
        <v>0</v>
      </c>
      <c r="M142" s="33" t="s">
        <v>893</v>
      </c>
      <c r="N142" s="55">
        <f t="shared" si="1"/>
        <v>1</v>
      </c>
    </row>
    <row r="143">
      <c r="A143" s="52" t="s">
        <v>894</v>
      </c>
      <c r="B143" s="48" t="s">
        <v>895</v>
      </c>
      <c r="C143" s="35" t="s">
        <v>896</v>
      </c>
      <c r="D143" s="33" t="s">
        <v>897</v>
      </c>
      <c r="E143" s="35" t="s">
        <v>870</v>
      </c>
      <c r="F143" s="36">
        <v>0.0</v>
      </c>
      <c r="G143" s="37">
        <v>0.0</v>
      </c>
      <c r="H143" s="36">
        <v>0.0</v>
      </c>
      <c r="I143" s="36">
        <v>0.0</v>
      </c>
      <c r="J143" s="37">
        <v>152.0</v>
      </c>
      <c r="K143" s="36">
        <v>0.0</v>
      </c>
      <c r="L143" s="53" t="b">
        <v>0</v>
      </c>
      <c r="M143" s="33" t="s">
        <v>898</v>
      </c>
      <c r="N143" s="55">
        <f t="shared" si="1"/>
        <v>0</v>
      </c>
    </row>
    <row r="144">
      <c r="A144" s="52" t="s">
        <v>899</v>
      </c>
      <c r="B144" s="48" t="s">
        <v>900</v>
      </c>
      <c r="C144" s="35" t="s">
        <v>901</v>
      </c>
      <c r="D144" s="33" t="s">
        <v>902</v>
      </c>
      <c r="E144" s="35" t="s">
        <v>870</v>
      </c>
      <c r="F144" s="36">
        <v>1.0</v>
      </c>
      <c r="G144" s="37">
        <v>0.0</v>
      </c>
      <c r="H144" s="36">
        <v>0.0</v>
      </c>
      <c r="I144" s="36">
        <v>0.0</v>
      </c>
      <c r="J144" s="37">
        <v>134.0</v>
      </c>
      <c r="K144" s="36">
        <v>0.0</v>
      </c>
      <c r="L144" s="53" t="b">
        <v>0</v>
      </c>
      <c r="M144" s="33" t="s">
        <v>903</v>
      </c>
      <c r="N144" s="55">
        <f t="shared" si="1"/>
        <v>0</v>
      </c>
    </row>
    <row r="145">
      <c r="A145" s="52" t="s">
        <v>904</v>
      </c>
      <c r="B145" s="48" t="s">
        <v>905</v>
      </c>
      <c r="C145" s="35" t="s">
        <v>906</v>
      </c>
      <c r="D145" s="33" t="s">
        <v>907</v>
      </c>
      <c r="E145" s="35" t="s">
        <v>870</v>
      </c>
      <c r="F145" s="36">
        <v>2.0</v>
      </c>
      <c r="G145" s="37">
        <v>0.0</v>
      </c>
      <c r="H145" s="36">
        <v>1.0</v>
      </c>
      <c r="I145" s="36">
        <v>0.0</v>
      </c>
      <c r="J145" s="37">
        <v>151.0</v>
      </c>
      <c r="K145" s="36">
        <v>0.0</v>
      </c>
      <c r="L145" s="53" t="b">
        <v>0</v>
      </c>
      <c r="M145" s="54"/>
      <c r="N145" s="55">
        <f t="shared" si="1"/>
        <v>1</v>
      </c>
    </row>
    <row r="146">
      <c r="A146" s="52" t="s">
        <v>866</v>
      </c>
      <c r="B146" s="48" t="s">
        <v>867</v>
      </c>
      <c r="C146" s="35" t="s">
        <v>868</v>
      </c>
      <c r="D146" s="33" t="s">
        <v>869</v>
      </c>
      <c r="E146" s="35" t="s">
        <v>870</v>
      </c>
      <c r="F146" s="36">
        <v>3.0</v>
      </c>
      <c r="G146" s="37">
        <v>0.0</v>
      </c>
      <c r="H146" s="36">
        <v>0.0</v>
      </c>
      <c r="I146" s="36">
        <v>0.0</v>
      </c>
      <c r="J146" s="37">
        <v>317.0</v>
      </c>
      <c r="K146" s="36">
        <v>0.0</v>
      </c>
      <c r="L146" s="53" t="b">
        <v>0</v>
      </c>
      <c r="M146" s="54"/>
      <c r="N146" s="55">
        <f t="shared" si="1"/>
        <v>0</v>
      </c>
    </row>
    <row r="147">
      <c r="A147" s="52" t="s">
        <v>871</v>
      </c>
      <c r="B147" s="48" t="s">
        <v>872</v>
      </c>
      <c r="C147" s="35" t="s">
        <v>873</v>
      </c>
      <c r="D147" s="33" t="s">
        <v>874</v>
      </c>
      <c r="E147" s="35" t="s">
        <v>870</v>
      </c>
      <c r="F147" s="36">
        <v>0.0</v>
      </c>
      <c r="G147" s="37">
        <v>0.0</v>
      </c>
      <c r="H147" s="36">
        <v>0.0</v>
      </c>
      <c r="I147" s="36">
        <v>0.0</v>
      </c>
      <c r="J147" s="37">
        <v>251.0</v>
      </c>
      <c r="K147" s="36">
        <v>0.0</v>
      </c>
      <c r="L147" s="53" t="b">
        <v>0</v>
      </c>
      <c r="M147" s="54"/>
      <c r="N147" s="55">
        <f t="shared" si="1"/>
        <v>0</v>
      </c>
    </row>
    <row r="148">
      <c r="A148" s="52" t="s">
        <v>875</v>
      </c>
      <c r="B148" s="48" t="s">
        <v>876</v>
      </c>
      <c r="C148" s="35" t="s">
        <v>877</v>
      </c>
      <c r="D148" s="33" t="s">
        <v>878</v>
      </c>
      <c r="E148" s="35" t="s">
        <v>870</v>
      </c>
      <c r="F148" s="36">
        <v>1.0</v>
      </c>
      <c r="G148" s="37">
        <v>0.0</v>
      </c>
      <c r="H148" s="36">
        <v>0.0</v>
      </c>
      <c r="I148" s="36">
        <v>0.0</v>
      </c>
      <c r="J148" s="37">
        <v>224.0</v>
      </c>
      <c r="K148" s="36">
        <v>0.0</v>
      </c>
      <c r="L148" s="53" t="b">
        <v>0</v>
      </c>
      <c r="M148" s="33" t="s">
        <v>879</v>
      </c>
      <c r="N148" s="55">
        <f t="shared" si="1"/>
        <v>0</v>
      </c>
    </row>
    <row r="149">
      <c r="A149" s="52" t="s">
        <v>880</v>
      </c>
      <c r="B149" s="48" t="s">
        <v>881</v>
      </c>
      <c r="C149" s="35" t="s">
        <v>882</v>
      </c>
      <c r="D149" s="33" t="s">
        <v>883</v>
      </c>
      <c r="E149" s="35" t="s">
        <v>870</v>
      </c>
      <c r="F149" s="36">
        <v>1.0</v>
      </c>
      <c r="G149" s="37">
        <v>0.0</v>
      </c>
      <c r="H149" s="36">
        <v>0.0</v>
      </c>
      <c r="I149" s="36">
        <v>0.0</v>
      </c>
      <c r="J149" s="37">
        <v>169.0</v>
      </c>
      <c r="K149" s="36">
        <v>0.0</v>
      </c>
      <c r="L149" s="53" t="b">
        <v>0</v>
      </c>
      <c r="M149" s="33" t="s">
        <v>884</v>
      </c>
      <c r="N149" s="55">
        <f t="shared" si="1"/>
        <v>0</v>
      </c>
    </row>
    <row r="150">
      <c r="A150" s="52" t="s">
        <v>885</v>
      </c>
      <c r="B150" s="48" t="s">
        <v>886</v>
      </c>
      <c r="C150" s="35" t="s">
        <v>887</v>
      </c>
      <c r="D150" s="33" t="s">
        <v>888</v>
      </c>
      <c r="E150" s="35" t="s">
        <v>870</v>
      </c>
      <c r="F150" s="36">
        <v>3.0</v>
      </c>
      <c r="G150" s="37">
        <v>0.0</v>
      </c>
      <c r="H150" s="36">
        <v>0.0</v>
      </c>
      <c r="I150" s="36">
        <v>0.0</v>
      </c>
      <c r="J150" s="37">
        <v>165.0</v>
      </c>
      <c r="K150" s="36">
        <v>0.0</v>
      </c>
      <c r="L150" s="53" t="b">
        <v>0</v>
      </c>
      <c r="M150" s="54"/>
      <c r="N150" s="55">
        <f t="shared" si="1"/>
        <v>0</v>
      </c>
    </row>
    <row r="151">
      <c r="A151" s="52" t="s">
        <v>889</v>
      </c>
      <c r="B151" s="48" t="s">
        <v>890</v>
      </c>
      <c r="C151" s="35" t="s">
        <v>891</v>
      </c>
      <c r="D151" s="33" t="s">
        <v>892</v>
      </c>
      <c r="E151" s="35" t="s">
        <v>870</v>
      </c>
      <c r="F151" s="36">
        <v>2.0</v>
      </c>
      <c r="G151" s="37">
        <v>0.0</v>
      </c>
      <c r="H151" s="36">
        <v>1.0</v>
      </c>
      <c r="I151" s="36">
        <v>0.0</v>
      </c>
      <c r="J151" s="37">
        <v>165.0</v>
      </c>
      <c r="K151" s="36">
        <v>0.0</v>
      </c>
      <c r="L151" s="53" t="b">
        <v>0</v>
      </c>
      <c r="M151" s="33" t="s">
        <v>893</v>
      </c>
      <c r="N151" s="55">
        <f t="shared" si="1"/>
        <v>1</v>
      </c>
    </row>
    <row r="152">
      <c r="A152" s="52" t="s">
        <v>894</v>
      </c>
      <c r="B152" s="48" t="s">
        <v>895</v>
      </c>
      <c r="C152" s="35" t="s">
        <v>896</v>
      </c>
      <c r="D152" s="33" t="s">
        <v>897</v>
      </c>
      <c r="E152" s="35" t="s">
        <v>870</v>
      </c>
      <c r="F152" s="36">
        <v>0.0</v>
      </c>
      <c r="G152" s="37">
        <v>0.0</v>
      </c>
      <c r="H152" s="36">
        <v>0.0</v>
      </c>
      <c r="I152" s="36">
        <v>0.0</v>
      </c>
      <c r="J152" s="37">
        <v>153.0</v>
      </c>
      <c r="K152" s="36">
        <v>0.0</v>
      </c>
      <c r="L152" s="53" t="b">
        <v>0</v>
      </c>
      <c r="M152" s="33" t="s">
        <v>898</v>
      </c>
      <c r="N152" s="55">
        <f t="shared" si="1"/>
        <v>0</v>
      </c>
    </row>
    <row r="153">
      <c r="A153" s="52" t="s">
        <v>899</v>
      </c>
      <c r="B153" s="48" t="s">
        <v>900</v>
      </c>
      <c r="C153" s="35" t="s">
        <v>901</v>
      </c>
      <c r="D153" s="33" t="s">
        <v>902</v>
      </c>
      <c r="E153" s="35" t="s">
        <v>870</v>
      </c>
      <c r="F153" s="36">
        <v>1.0</v>
      </c>
      <c r="G153" s="37">
        <v>0.0</v>
      </c>
      <c r="H153" s="36">
        <v>0.0</v>
      </c>
      <c r="I153" s="36">
        <v>0.0</v>
      </c>
      <c r="J153" s="37">
        <v>134.0</v>
      </c>
      <c r="K153" s="36">
        <v>0.0</v>
      </c>
      <c r="L153" s="53" t="b">
        <v>0</v>
      </c>
      <c r="M153" s="33" t="s">
        <v>903</v>
      </c>
      <c r="N153" s="55">
        <f t="shared" si="1"/>
        <v>0</v>
      </c>
    </row>
    <row r="154">
      <c r="A154" s="52" t="s">
        <v>904</v>
      </c>
      <c r="B154" s="48" t="s">
        <v>905</v>
      </c>
      <c r="C154" s="35" t="s">
        <v>906</v>
      </c>
      <c r="D154" s="33" t="s">
        <v>907</v>
      </c>
      <c r="E154" s="35" t="s">
        <v>870</v>
      </c>
      <c r="F154" s="36">
        <v>2.0</v>
      </c>
      <c r="G154" s="37">
        <v>0.0</v>
      </c>
      <c r="H154" s="36">
        <v>1.0</v>
      </c>
      <c r="I154" s="36">
        <v>0.0</v>
      </c>
      <c r="J154" s="37">
        <v>151.0</v>
      </c>
      <c r="K154" s="36">
        <v>0.0</v>
      </c>
      <c r="L154" s="53" t="b">
        <v>0</v>
      </c>
      <c r="M154" s="54"/>
      <c r="N154" s="55">
        <f t="shared" si="1"/>
        <v>1</v>
      </c>
    </row>
    <row r="155">
      <c r="A155" s="52" t="s">
        <v>866</v>
      </c>
      <c r="B155" s="48" t="s">
        <v>867</v>
      </c>
      <c r="C155" s="35" t="s">
        <v>868</v>
      </c>
      <c r="D155" s="33" t="s">
        <v>869</v>
      </c>
      <c r="E155" s="35" t="s">
        <v>870</v>
      </c>
      <c r="F155" s="36">
        <v>3.0</v>
      </c>
      <c r="G155" s="37">
        <v>0.0</v>
      </c>
      <c r="H155" s="36">
        <v>0.0</v>
      </c>
      <c r="I155" s="36">
        <v>0.0</v>
      </c>
      <c r="J155" s="37">
        <v>317.0</v>
      </c>
      <c r="K155" s="36">
        <v>0.0</v>
      </c>
      <c r="L155" s="53" t="b">
        <v>0</v>
      </c>
      <c r="M155" s="54"/>
      <c r="N155" s="55">
        <f t="shared" si="1"/>
        <v>0</v>
      </c>
    </row>
    <row r="156">
      <c r="A156" s="52" t="s">
        <v>871</v>
      </c>
      <c r="B156" s="48" t="s">
        <v>872</v>
      </c>
      <c r="C156" s="35" t="s">
        <v>873</v>
      </c>
      <c r="D156" s="33" t="s">
        <v>874</v>
      </c>
      <c r="E156" s="35" t="s">
        <v>870</v>
      </c>
      <c r="F156" s="36">
        <v>0.0</v>
      </c>
      <c r="G156" s="37">
        <v>0.0</v>
      </c>
      <c r="H156" s="36">
        <v>0.0</v>
      </c>
      <c r="I156" s="36">
        <v>0.0</v>
      </c>
      <c r="J156" s="37">
        <v>251.0</v>
      </c>
      <c r="K156" s="36">
        <v>0.0</v>
      </c>
      <c r="L156" s="53" t="b">
        <v>0</v>
      </c>
      <c r="M156" s="54"/>
      <c r="N156" s="55">
        <f t="shared" si="1"/>
        <v>0</v>
      </c>
    </row>
    <row r="157">
      <c r="A157" s="52" t="s">
        <v>875</v>
      </c>
      <c r="B157" s="48" t="s">
        <v>876</v>
      </c>
      <c r="C157" s="35" t="s">
        <v>877</v>
      </c>
      <c r="D157" s="33" t="s">
        <v>878</v>
      </c>
      <c r="E157" s="35" t="s">
        <v>870</v>
      </c>
      <c r="F157" s="36">
        <v>1.0</v>
      </c>
      <c r="G157" s="37">
        <v>0.0</v>
      </c>
      <c r="H157" s="36">
        <v>0.0</v>
      </c>
      <c r="I157" s="36">
        <v>0.0</v>
      </c>
      <c r="J157" s="37">
        <v>224.0</v>
      </c>
      <c r="K157" s="36">
        <v>0.0</v>
      </c>
      <c r="L157" s="53" t="b">
        <v>0</v>
      </c>
      <c r="M157" s="33" t="s">
        <v>879</v>
      </c>
      <c r="N157" s="55">
        <f t="shared" si="1"/>
        <v>0</v>
      </c>
    </row>
    <row r="158">
      <c r="A158" s="52" t="s">
        <v>880</v>
      </c>
      <c r="B158" s="48" t="s">
        <v>881</v>
      </c>
      <c r="C158" s="35" t="s">
        <v>882</v>
      </c>
      <c r="D158" s="33" t="s">
        <v>883</v>
      </c>
      <c r="E158" s="35" t="s">
        <v>870</v>
      </c>
      <c r="F158" s="36">
        <v>1.0</v>
      </c>
      <c r="G158" s="37">
        <v>0.0</v>
      </c>
      <c r="H158" s="36">
        <v>0.0</v>
      </c>
      <c r="I158" s="36">
        <v>0.0</v>
      </c>
      <c r="J158" s="37">
        <v>169.0</v>
      </c>
      <c r="K158" s="36">
        <v>0.0</v>
      </c>
      <c r="L158" s="53" t="b">
        <v>0</v>
      </c>
      <c r="M158" s="33" t="s">
        <v>884</v>
      </c>
      <c r="N158" s="55">
        <f t="shared" si="1"/>
        <v>0</v>
      </c>
    </row>
    <row r="159">
      <c r="A159" s="52" t="s">
        <v>885</v>
      </c>
      <c r="B159" s="48" t="s">
        <v>886</v>
      </c>
      <c r="C159" s="35" t="s">
        <v>887</v>
      </c>
      <c r="D159" s="33" t="s">
        <v>888</v>
      </c>
      <c r="E159" s="35" t="s">
        <v>870</v>
      </c>
      <c r="F159" s="36">
        <v>3.0</v>
      </c>
      <c r="G159" s="37">
        <v>0.0</v>
      </c>
      <c r="H159" s="36">
        <v>0.0</v>
      </c>
      <c r="I159" s="36">
        <v>0.0</v>
      </c>
      <c r="J159" s="37">
        <v>165.0</v>
      </c>
      <c r="K159" s="36">
        <v>0.0</v>
      </c>
      <c r="L159" s="53" t="b">
        <v>0</v>
      </c>
      <c r="M159" s="54"/>
      <c r="N159" s="55">
        <f t="shared" si="1"/>
        <v>0</v>
      </c>
    </row>
    <row r="160">
      <c r="A160" s="52" t="s">
        <v>889</v>
      </c>
      <c r="B160" s="48" t="s">
        <v>890</v>
      </c>
      <c r="C160" s="35" t="s">
        <v>891</v>
      </c>
      <c r="D160" s="33" t="s">
        <v>892</v>
      </c>
      <c r="E160" s="35" t="s">
        <v>870</v>
      </c>
      <c r="F160" s="36">
        <v>2.0</v>
      </c>
      <c r="G160" s="37">
        <v>0.0</v>
      </c>
      <c r="H160" s="36">
        <v>1.0</v>
      </c>
      <c r="I160" s="36">
        <v>0.0</v>
      </c>
      <c r="J160" s="37">
        <v>165.0</v>
      </c>
      <c r="K160" s="36">
        <v>0.0</v>
      </c>
      <c r="L160" s="53" t="b">
        <v>0</v>
      </c>
      <c r="M160" s="33" t="s">
        <v>893</v>
      </c>
      <c r="N160" s="55">
        <f t="shared" si="1"/>
        <v>1</v>
      </c>
    </row>
    <row r="161">
      <c r="A161" s="52" t="s">
        <v>894</v>
      </c>
      <c r="B161" s="48" t="s">
        <v>895</v>
      </c>
      <c r="C161" s="35" t="s">
        <v>896</v>
      </c>
      <c r="D161" s="33" t="s">
        <v>897</v>
      </c>
      <c r="E161" s="35" t="s">
        <v>870</v>
      </c>
      <c r="F161" s="36">
        <v>0.0</v>
      </c>
      <c r="G161" s="37">
        <v>0.0</v>
      </c>
      <c r="H161" s="36">
        <v>0.0</v>
      </c>
      <c r="I161" s="36">
        <v>0.0</v>
      </c>
      <c r="J161" s="37">
        <v>153.0</v>
      </c>
      <c r="K161" s="36">
        <v>0.0</v>
      </c>
      <c r="L161" s="53" t="b">
        <v>0</v>
      </c>
      <c r="M161" s="33" t="s">
        <v>898</v>
      </c>
      <c r="N161" s="55">
        <f t="shared" si="1"/>
        <v>0</v>
      </c>
    </row>
    <row r="162">
      <c r="A162" s="52" t="s">
        <v>899</v>
      </c>
      <c r="B162" s="48" t="s">
        <v>900</v>
      </c>
      <c r="C162" s="35" t="s">
        <v>901</v>
      </c>
      <c r="D162" s="33" t="s">
        <v>902</v>
      </c>
      <c r="E162" s="35" t="s">
        <v>870</v>
      </c>
      <c r="F162" s="36">
        <v>1.0</v>
      </c>
      <c r="G162" s="37">
        <v>0.0</v>
      </c>
      <c r="H162" s="36">
        <v>0.0</v>
      </c>
      <c r="I162" s="36">
        <v>0.0</v>
      </c>
      <c r="J162" s="37">
        <v>134.0</v>
      </c>
      <c r="K162" s="36">
        <v>0.0</v>
      </c>
      <c r="L162" s="53" t="b">
        <v>0</v>
      </c>
      <c r="M162" s="33" t="s">
        <v>903</v>
      </c>
      <c r="N162" s="55">
        <f t="shared" si="1"/>
        <v>0</v>
      </c>
    </row>
    <row r="163">
      <c r="A163" s="52" t="s">
        <v>904</v>
      </c>
      <c r="B163" s="48" t="s">
        <v>905</v>
      </c>
      <c r="C163" s="35" t="s">
        <v>906</v>
      </c>
      <c r="D163" s="33" t="s">
        <v>907</v>
      </c>
      <c r="E163" s="35" t="s">
        <v>870</v>
      </c>
      <c r="F163" s="36">
        <v>2.0</v>
      </c>
      <c r="G163" s="37">
        <v>0.0</v>
      </c>
      <c r="H163" s="36">
        <v>1.0</v>
      </c>
      <c r="I163" s="36">
        <v>0.0</v>
      </c>
      <c r="J163" s="37">
        <v>151.0</v>
      </c>
      <c r="K163" s="36">
        <v>0.0</v>
      </c>
      <c r="L163" s="53" t="b">
        <v>0</v>
      </c>
      <c r="M163" s="54"/>
      <c r="N163" s="55">
        <f t="shared" si="1"/>
        <v>1</v>
      </c>
    </row>
    <row r="164">
      <c r="A164" s="52" t="s">
        <v>866</v>
      </c>
      <c r="B164" s="48" t="s">
        <v>867</v>
      </c>
      <c r="C164" s="35" t="s">
        <v>868</v>
      </c>
      <c r="D164" s="33" t="s">
        <v>869</v>
      </c>
      <c r="E164" s="35" t="s">
        <v>870</v>
      </c>
      <c r="F164" s="36">
        <v>3.0</v>
      </c>
      <c r="G164" s="37">
        <v>0.0</v>
      </c>
      <c r="H164" s="36">
        <v>0.0</v>
      </c>
      <c r="I164" s="36">
        <v>0.0</v>
      </c>
      <c r="J164" s="37">
        <v>316.0</v>
      </c>
      <c r="K164" s="36">
        <v>0.0</v>
      </c>
      <c r="L164" s="53" t="b">
        <v>0</v>
      </c>
      <c r="M164" s="54"/>
      <c r="N164" s="55">
        <f t="shared" si="1"/>
        <v>0</v>
      </c>
    </row>
    <row r="165">
      <c r="A165" s="52" t="s">
        <v>871</v>
      </c>
      <c r="B165" s="48" t="s">
        <v>872</v>
      </c>
      <c r="C165" s="35" t="s">
        <v>873</v>
      </c>
      <c r="D165" s="33" t="s">
        <v>874</v>
      </c>
      <c r="E165" s="35" t="s">
        <v>870</v>
      </c>
      <c r="F165" s="36">
        <v>0.0</v>
      </c>
      <c r="G165" s="37">
        <v>0.0</v>
      </c>
      <c r="H165" s="36">
        <v>0.0</v>
      </c>
      <c r="I165" s="36">
        <v>0.0</v>
      </c>
      <c r="J165" s="37">
        <v>251.0</v>
      </c>
      <c r="K165" s="36">
        <v>0.0</v>
      </c>
      <c r="L165" s="53" t="b">
        <v>0</v>
      </c>
      <c r="M165" s="54"/>
      <c r="N165" s="55">
        <f t="shared" si="1"/>
        <v>0</v>
      </c>
    </row>
    <row r="166">
      <c r="A166" s="52" t="s">
        <v>875</v>
      </c>
      <c r="B166" s="48" t="s">
        <v>876</v>
      </c>
      <c r="C166" s="35" t="s">
        <v>877</v>
      </c>
      <c r="D166" s="33" t="s">
        <v>878</v>
      </c>
      <c r="E166" s="35" t="s">
        <v>870</v>
      </c>
      <c r="F166" s="36">
        <v>1.0</v>
      </c>
      <c r="G166" s="37">
        <v>0.0</v>
      </c>
      <c r="H166" s="36">
        <v>0.0</v>
      </c>
      <c r="I166" s="36">
        <v>0.0</v>
      </c>
      <c r="J166" s="37">
        <v>224.0</v>
      </c>
      <c r="K166" s="36">
        <v>0.0</v>
      </c>
      <c r="L166" s="53" t="b">
        <v>0</v>
      </c>
      <c r="M166" s="33" t="s">
        <v>879</v>
      </c>
      <c r="N166" s="55">
        <f t="shared" si="1"/>
        <v>0</v>
      </c>
    </row>
    <row r="167">
      <c r="A167" s="52" t="s">
        <v>880</v>
      </c>
      <c r="B167" s="48" t="s">
        <v>881</v>
      </c>
      <c r="C167" s="35" t="s">
        <v>882</v>
      </c>
      <c r="D167" s="33" t="s">
        <v>883</v>
      </c>
      <c r="E167" s="35" t="s">
        <v>870</v>
      </c>
      <c r="F167" s="36">
        <v>1.0</v>
      </c>
      <c r="G167" s="37">
        <v>0.0</v>
      </c>
      <c r="H167" s="36">
        <v>0.0</v>
      </c>
      <c r="I167" s="36">
        <v>0.0</v>
      </c>
      <c r="J167" s="37">
        <v>169.0</v>
      </c>
      <c r="K167" s="36">
        <v>0.0</v>
      </c>
      <c r="L167" s="53" t="b">
        <v>0</v>
      </c>
      <c r="M167" s="33" t="s">
        <v>884</v>
      </c>
      <c r="N167" s="55">
        <f t="shared" si="1"/>
        <v>0</v>
      </c>
    </row>
    <row r="168">
      <c r="A168" s="52" t="s">
        <v>885</v>
      </c>
      <c r="B168" s="48" t="s">
        <v>886</v>
      </c>
      <c r="C168" s="35" t="s">
        <v>887</v>
      </c>
      <c r="D168" s="33" t="s">
        <v>888</v>
      </c>
      <c r="E168" s="35" t="s">
        <v>870</v>
      </c>
      <c r="F168" s="36">
        <v>3.0</v>
      </c>
      <c r="G168" s="37">
        <v>0.0</v>
      </c>
      <c r="H168" s="36">
        <v>0.0</v>
      </c>
      <c r="I168" s="36">
        <v>0.0</v>
      </c>
      <c r="J168" s="37">
        <v>165.0</v>
      </c>
      <c r="K168" s="36">
        <v>0.0</v>
      </c>
      <c r="L168" s="53" t="b">
        <v>0</v>
      </c>
      <c r="M168" s="54"/>
      <c r="N168" s="55">
        <f t="shared" si="1"/>
        <v>0</v>
      </c>
    </row>
    <row r="169">
      <c r="A169" s="52" t="s">
        <v>889</v>
      </c>
      <c r="B169" s="48" t="s">
        <v>890</v>
      </c>
      <c r="C169" s="35" t="s">
        <v>891</v>
      </c>
      <c r="D169" s="33" t="s">
        <v>892</v>
      </c>
      <c r="E169" s="35" t="s">
        <v>870</v>
      </c>
      <c r="F169" s="36">
        <v>2.0</v>
      </c>
      <c r="G169" s="37">
        <v>0.0</v>
      </c>
      <c r="H169" s="36">
        <v>1.0</v>
      </c>
      <c r="I169" s="36">
        <v>0.0</v>
      </c>
      <c r="J169" s="37">
        <v>165.0</v>
      </c>
      <c r="K169" s="36">
        <v>0.0</v>
      </c>
      <c r="L169" s="53" t="b">
        <v>0</v>
      </c>
      <c r="M169" s="33" t="s">
        <v>893</v>
      </c>
      <c r="N169" s="55">
        <f t="shared" si="1"/>
        <v>1</v>
      </c>
    </row>
    <row r="170">
      <c r="A170" s="52" t="s">
        <v>894</v>
      </c>
      <c r="B170" s="48" t="s">
        <v>895</v>
      </c>
      <c r="C170" s="35" t="s">
        <v>896</v>
      </c>
      <c r="D170" s="33" t="s">
        <v>897</v>
      </c>
      <c r="E170" s="35" t="s">
        <v>870</v>
      </c>
      <c r="F170" s="36">
        <v>0.0</v>
      </c>
      <c r="G170" s="37">
        <v>0.0</v>
      </c>
      <c r="H170" s="36">
        <v>0.0</v>
      </c>
      <c r="I170" s="36">
        <v>0.0</v>
      </c>
      <c r="J170" s="37">
        <v>152.0</v>
      </c>
      <c r="K170" s="36">
        <v>0.0</v>
      </c>
      <c r="L170" s="53" t="b">
        <v>0</v>
      </c>
      <c r="M170" s="33" t="s">
        <v>898</v>
      </c>
      <c r="N170" s="55">
        <f t="shared" si="1"/>
        <v>0</v>
      </c>
    </row>
    <row r="171">
      <c r="A171" s="52" t="s">
        <v>899</v>
      </c>
      <c r="B171" s="48" t="s">
        <v>900</v>
      </c>
      <c r="C171" s="35" t="s">
        <v>901</v>
      </c>
      <c r="D171" s="33" t="s">
        <v>902</v>
      </c>
      <c r="E171" s="35" t="s">
        <v>870</v>
      </c>
      <c r="F171" s="36">
        <v>1.0</v>
      </c>
      <c r="G171" s="37">
        <v>0.0</v>
      </c>
      <c r="H171" s="36">
        <v>0.0</v>
      </c>
      <c r="I171" s="36">
        <v>0.0</v>
      </c>
      <c r="J171" s="37">
        <v>134.0</v>
      </c>
      <c r="K171" s="36">
        <v>0.0</v>
      </c>
      <c r="L171" s="53" t="b">
        <v>0</v>
      </c>
      <c r="M171" s="33" t="s">
        <v>903</v>
      </c>
      <c r="N171" s="55">
        <f t="shared" si="1"/>
        <v>0</v>
      </c>
    </row>
    <row r="172">
      <c r="A172" s="52" t="s">
        <v>904</v>
      </c>
      <c r="B172" s="48" t="s">
        <v>905</v>
      </c>
      <c r="C172" s="35" t="s">
        <v>906</v>
      </c>
      <c r="D172" s="33" t="s">
        <v>907</v>
      </c>
      <c r="E172" s="35" t="s">
        <v>870</v>
      </c>
      <c r="F172" s="36">
        <v>2.0</v>
      </c>
      <c r="G172" s="37">
        <v>0.0</v>
      </c>
      <c r="H172" s="36">
        <v>1.0</v>
      </c>
      <c r="I172" s="36">
        <v>0.0</v>
      </c>
      <c r="J172" s="37">
        <v>151.0</v>
      </c>
      <c r="K172" s="36">
        <v>0.0</v>
      </c>
      <c r="L172" s="53" t="b">
        <v>0</v>
      </c>
      <c r="M172" s="54"/>
      <c r="N172" s="55">
        <f t="shared" si="1"/>
        <v>1</v>
      </c>
    </row>
    <row r="173">
      <c r="A173" s="52" t="s">
        <v>866</v>
      </c>
      <c r="B173" s="48" t="s">
        <v>867</v>
      </c>
      <c r="C173" s="35" t="s">
        <v>868</v>
      </c>
      <c r="D173" s="33" t="s">
        <v>869</v>
      </c>
      <c r="E173" s="35" t="s">
        <v>870</v>
      </c>
      <c r="F173" s="36">
        <v>3.0</v>
      </c>
      <c r="G173" s="37">
        <v>0.0</v>
      </c>
      <c r="H173" s="36">
        <v>0.0</v>
      </c>
      <c r="I173" s="36">
        <v>0.0</v>
      </c>
      <c r="J173" s="37">
        <v>317.0</v>
      </c>
      <c r="K173" s="36">
        <v>0.0</v>
      </c>
      <c r="L173" s="53" t="b">
        <v>0</v>
      </c>
      <c r="M173" s="54"/>
      <c r="N173" s="55">
        <f t="shared" si="1"/>
        <v>0</v>
      </c>
    </row>
    <row r="174">
      <c r="A174" s="52" t="s">
        <v>871</v>
      </c>
      <c r="B174" s="48" t="s">
        <v>872</v>
      </c>
      <c r="C174" s="35" t="s">
        <v>873</v>
      </c>
      <c r="D174" s="33" t="s">
        <v>874</v>
      </c>
      <c r="E174" s="35" t="s">
        <v>870</v>
      </c>
      <c r="F174" s="36">
        <v>0.0</v>
      </c>
      <c r="G174" s="37">
        <v>0.0</v>
      </c>
      <c r="H174" s="36">
        <v>0.0</v>
      </c>
      <c r="I174" s="36">
        <v>0.0</v>
      </c>
      <c r="J174" s="37">
        <v>251.0</v>
      </c>
      <c r="K174" s="36">
        <v>0.0</v>
      </c>
      <c r="L174" s="53" t="b">
        <v>0</v>
      </c>
      <c r="M174" s="54"/>
      <c r="N174" s="55">
        <f t="shared" si="1"/>
        <v>0</v>
      </c>
    </row>
    <row r="175">
      <c r="A175" s="52" t="s">
        <v>875</v>
      </c>
      <c r="B175" s="48" t="s">
        <v>876</v>
      </c>
      <c r="C175" s="35" t="s">
        <v>877</v>
      </c>
      <c r="D175" s="33" t="s">
        <v>878</v>
      </c>
      <c r="E175" s="35" t="s">
        <v>870</v>
      </c>
      <c r="F175" s="36">
        <v>1.0</v>
      </c>
      <c r="G175" s="37">
        <v>0.0</v>
      </c>
      <c r="H175" s="36">
        <v>0.0</v>
      </c>
      <c r="I175" s="36">
        <v>0.0</v>
      </c>
      <c r="J175" s="37">
        <v>224.0</v>
      </c>
      <c r="K175" s="36">
        <v>0.0</v>
      </c>
      <c r="L175" s="53" t="b">
        <v>0</v>
      </c>
      <c r="M175" s="33" t="s">
        <v>879</v>
      </c>
      <c r="N175" s="55">
        <f t="shared" si="1"/>
        <v>0</v>
      </c>
    </row>
    <row r="176">
      <c r="A176" s="52" t="s">
        <v>880</v>
      </c>
      <c r="B176" s="48" t="s">
        <v>881</v>
      </c>
      <c r="C176" s="35" t="s">
        <v>882</v>
      </c>
      <c r="D176" s="33" t="s">
        <v>883</v>
      </c>
      <c r="E176" s="35" t="s">
        <v>870</v>
      </c>
      <c r="F176" s="36">
        <v>1.0</v>
      </c>
      <c r="G176" s="37">
        <v>0.0</v>
      </c>
      <c r="H176" s="36">
        <v>0.0</v>
      </c>
      <c r="I176" s="36">
        <v>0.0</v>
      </c>
      <c r="J176" s="37">
        <v>169.0</v>
      </c>
      <c r="K176" s="36">
        <v>0.0</v>
      </c>
      <c r="L176" s="53" t="b">
        <v>0</v>
      </c>
      <c r="M176" s="33" t="s">
        <v>884</v>
      </c>
      <c r="N176" s="55">
        <f t="shared" si="1"/>
        <v>0</v>
      </c>
    </row>
    <row r="177">
      <c r="A177" s="52" t="s">
        <v>885</v>
      </c>
      <c r="B177" s="48" t="s">
        <v>886</v>
      </c>
      <c r="C177" s="35" t="s">
        <v>887</v>
      </c>
      <c r="D177" s="33" t="s">
        <v>888</v>
      </c>
      <c r="E177" s="35" t="s">
        <v>870</v>
      </c>
      <c r="F177" s="36">
        <v>3.0</v>
      </c>
      <c r="G177" s="37">
        <v>0.0</v>
      </c>
      <c r="H177" s="36">
        <v>0.0</v>
      </c>
      <c r="I177" s="36">
        <v>0.0</v>
      </c>
      <c r="J177" s="37">
        <v>165.0</v>
      </c>
      <c r="K177" s="36">
        <v>0.0</v>
      </c>
      <c r="L177" s="53" t="b">
        <v>0</v>
      </c>
      <c r="M177" s="54"/>
      <c r="N177" s="55">
        <f t="shared" si="1"/>
        <v>0</v>
      </c>
    </row>
    <row r="178">
      <c r="A178" s="52" t="s">
        <v>889</v>
      </c>
      <c r="B178" s="48" t="s">
        <v>890</v>
      </c>
      <c r="C178" s="35" t="s">
        <v>891</v>
      </c>
      <c r="D178" s="33" t="s">
        <v>892</v>
      </c>
      <c r="E178" s="35" t="s">
        <v>870</v>
      </c>
      <c r="F178" s="36">
        <v>2.0</v>
      </c>
      <c r="G178" s="37">
        <v>0.0</v>
      </c>
      <c r="H178" s="36">
        <v>1.0</v>
      </c>
      <c r="I178" s="36">
        <v>0.0</v>
      </c>
      <c r="J178" s="37">
        <v>165.0</v>
      </c>
      <c r="K178" s="36">
        <v>0.0</v>
      </c>
      <c r="L178" s="53" t="b">
        <v>0</v>
      </c>
      <c r="M178" s="33" t="s">
        <v>893</v>
      </c>
      <c r="N178" s="55">
        <f t="shared" si="1"/>
        <v>1</v>
      </c>
    </row>
    <row r="179">
      <c r="A179" s="52" t="s">
        <v>894</v>
      </c>
      <c r="B179" s="48" t="s">
        <v>895</v>
      </c>
      <c r="C179" s="35" t="s">
        <v>896</v>
      </c>
      <c r="D179" s="33" t="s">
        <v>897</v>
      </c>
      <c r="E179" s="35" t="s">
        <v>870</v>
      </c>
      <c r="F179" s="36">
        <v>0.0</v>
      </c>
      <c r="G179" s="37">
        <v>0.0</v>
      </c>
      <c r="H179" s="36">
        <v>0.0</v>
      </c>
      <c r="I179" s="36">
        <v>0.0</v>
      </c>
      <c r="J179" s="37">
        <v>153.0</v>
      </c>
      <c r="K179" s="36">
        <v>0.0</v>
      </c>
      <c r="L179" s="53" t="b">
        <v>0</v>
      </c>
      <c r="M179" s="33" t="s">
        <v>898</v>
      </c>
      <c r="N179" s="55">
        <f t="shared" si="1"/>
        <v>0</v>
      </c>
    </row>
    <row r="180">
      <c r="A180" s="52" t="s">
        <v>899</v>
      </c>
      <c r="B180" s="48" t="s">
        <v>900</v>
      </c>
      <c r="C180" s="35" t="s">
        <v>901</v>
      </c>
      <c r="D180" s="33" t="s">
        <v>902</v>
      </c>
      <c r="E180" s="35" t="s">
        <v>870</v>
      </c>
      <c r="F180" s="36">
        <v>1.0</v>
      </c>
      <c r="G180" s="37">
        <v>0.0</v>
      </c>
      <c r="H180" s="36">
        <v>0.0</v>
      </c>
      <c r="I180" s="36">
        <v>0.0</v>
      </c>
      <c r="J180" s="37">
        <v>134.0</v>
      </c>
      <c r="K180" s="36">
        <v>0.0</v>
      </c>
      <c r="L180" s="53" t="b">
        <v>0</v>
      </c>
      <c r="M180" s="33" t="s">
        <v>903</v>
      </c>
      <c r="N180" s="55">
        <f t="shared" si="1"/>
        <v>0</v>
      </c>
    </row>
    <row r="181">
      <c r="A181" s="56" t="s">
        <v>904</v>
      </c>
      <c r="B181" s="49" t="s">
        <v>905</v>
      </c>
      <c r="C181" s="43" t="s">
        <v>906</v>
      </c>
      <c r="D181" s="41" t="s">
        <v>907</v>
      </c>
      <c r="E181" s="43" t="s">
        <v>870</v>
      </c>
      <c r="F181" s="44">
        <v>2.0</v>
      </c>
      <c r="G181" s="45">
        <v>0.0</v>
      </c>
      <c r="H181" s="44">
        <v>1.0</v>
      </c>
      <c r="I181" s="44">
        <v>0.0</v>
      </c>
      <c r="J181" s="45">
        <v>151.0</v>
      </c>
      <c r="K181" s="44">
        <v>0.0</v>
      </c>
      <c r="L181" s="57" t="b">
        <v>0</v>
      </c>
      <c r="M181" s="58"/>
      <c r="N181" s="59">
        <f t="shared" si="1"/>
        <v>1</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s>
  <drawing r:id="rId361"/>
  <tableParts count="1">
    <tablePart r:id="rId36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6.13"/>
  </cols>
  <sheetData>
    <row r="1">
      <c r="A1" s="23" t="s">
        <v>908</v>
      </c>
      <c r="B1" s="23" t="s">
        <v>909</v>
      </c>
      <c r="C1" s="23" t="s">
        <v>910</v>
      </c>
      <c r="D1" s="60" t="s">
        <v>911</v>
      </c>
      <c r="E1" s="23" t="s">
        <v>912</v>
      </c>
      <c r="F1" s="23" t="s">
        <v>913</v>
      </c>
      <c r="G1" s="23" t="s">
        <v>914</v>
      </c>
      <c r="H1" s="23" t="s">
        <v>915</v>
      </c>
      <c r="I1" s="23" t="s">
        <v>916</v>
      </c>
      <c r="J1" s="23" t="s">
        <v>38</v>
      </c>
      <c r="K1" s="24"/>
      <c r="L1" s="24"/>
      <c r="M1" s="24"/>
      <c r="N1" s="24"/>
      <c r="O1" s="24"/>
      <c r="P1" s="24"/>
      <c r="Q1" s="24"/>
      <c r="R1" s="24"/>
      <c r="S1" s="24"/>
      <c r="T1" s="24"/>
      <c r="U1" s="24"/>
      <c r="V1" s="24"/>
      <c r="W1" s="24"/>
      <c r="X1" s="24"/>
      <c r="Y1" s="24"/>
      <c r="Z1" s="24"/>
    </row>
    <row r="2">
      <c r="A2" s="61" t="s">
        <v>917</v>
      </c>
      <c r="B2" s="25" t="s">
        <v>918</v>
      </c>
      <c r="C2" s="35" t="s">
        <v>919</v>
      </c>
      <c r="D2" s="62" t="s">
        <v>920</v>
      </c>
      <c r="E2" s="37">
        <v>14300.0</v>
      </c>
      <c r="F2" s="28">
        <v>8600.0</v>
      </c>
      <c r="G2" s="36">
        <v>141.0</v>
      </c>
      <c r="H2" s="35" t="s">
        <v>921</v>
      </c>
      <c r="I2" s="28">
        <v>10.0</v>
      </c>
      <c r="J2" s="63" t="s">
        <v>922</v>
      </c>
      <c r="K2" s="24"/>
      <c r="L2" s="24"/>
      <c r="M2" s="24"/>
      <c r="N2" s="24"/>
      <c r="O2" s="24"/>
      <c r="P2" s="24"/>
      <c r="Q2" s="24"/>
      <c r="R2" s="24"/>
      <c r="S2" s="24"/>
      <c r="T2" s="24"/>
      <c r="U2" s="24"/>
      <c r="V2" s="24"/>
      <c r="W2" s="24"/>
      <c r="X2" s="24"/>
      <c r="Y2" s="24"/>
      <c r="Z2" s="24"/>
    </row>
    <row r="3">
      <c r="A3" s="61" t="s">
        <v>923</v>
      </c>
      <c r="B3" s="33" t="s">
        <v>924</v>
      </c>
      <c r="C3" s="35" t="s">
        <v>925</v>
      </c>
      <c r="D3" s="62" t="s">
        <v>926</v>
      </c>
      <c r="E3" s="37">
        <v>5200.0</v>
      </c>
      <c r="F3" s="36">
        <v>461.0</v>
      </c>
      <c r="G3" s="36">
        <v>2.0</v>
      </c>
      <c r="H3" s="35" t="s">
        <v>927</v>
      </c>
      <c r="I3" s="36">
        <v>5.0</v>
      </c>
      <c r="J3" s="63" t="s">
        <v>928</v>
      </c>
      <c r="K3" s="24"/>
      <c r="L3" s="24"/>
      <c r="M3" s="24"/>
      <c r="N3" s="24"/>
      <c r="O3" s="24"/>
      <c r="P3" s="24"/>
      <c r="Q3" s="24"/>
      <c r="R3" s="24"/>
      <c r="S3" s="24"/>
      <c r="T3" s="24"/>
      <c r="U3" s="24"/>
      <c r="V3" s="24"/>
      <c r="W3" s="24"/>
      <c r="X3" s="24"/>
      <c r="Y3" s="24"/>
      <c r="Z3" s="24"/>
    </row>
    <row r="4">
      <c r="A4" s="61" t="s">
        <v>929</v>
      </c>
      <c r="B4" s="33" t="s">
        <v>924</v>
      </c>
      <c r="C4" s="35" t="s">
        <v>925</v>
      </c>
      <c r="D4" s="62" t="s">
        <v>926</v>
      </c>
      <c r="E4" s="37">
        <v>2900.0</v>
      </c>
      <c r="F4" s="36">
        <v>217.0</v>
      </c>
      <c r="G4" s="36">
        <v>1.0</v>
      </c>
      <c r="H4" s="35" t="s">
        <v>927</v>
      </c>
      <c r="I4" s="36">
        <v>2.0</v>
      </c>
      <c r="J4" s="63" t="s">
        <v>930</v>
      </c>
      <c r="K4" s="24"/>
      <c r="L4" s="24"/>
      <c r="M4" s="24"/>
      <c r="N4" s="24"/>
      <c r="O4" s="24"/>
      <c r="P4" s="24"/>
      <c r="Q4" s="24"/>
      <c r="R4" s="24"/>
      <c r="S4" s="24"/>
      <c r="T4" s="24"/>
      <c r="U4" s="24"/>
      <c r="V4" s="24"/>
      <c r="W4" s="24"/>
      <c r="X4" s="24"/>
      <c r="Y4" s="24"/>
      <c r="Z4" s="24"/>
    </row>
    <row r="5">
      <c r="A5" s="61" t="s">
        <v>931</v>
      </c>
      <c r="B5" s="33" t="s">
        <v>924</v>
      </c>
      <c r="C5" s="35" t="s">
        <v>925</v>
      </c>
      <c r="D5" s="62" t="s">
        <v>926</v>
      </c>
      <c r="E5" s="37">
        <v>2300.0</v>
      </c>
      <c r="F5" s="36">
        <v>165.0</v>
      </c>
      <c r="G5" s="36">
        <v>1.0</v>
      </c>
      <c r="H5" s="35" t="s">
        <v>927</v>
      </c>
      <c r="I5" s="36">
        <v>6.0</v>
      </c>
      <c r="J5" s="63" t="s">
        <v>932</v>
      </c>
      <c r="K5" s="24"/>
      <c r="L5" s="24"/>
      <c r="M5" s="24"/>
      <c r="N5" s="24"/>
      <c r="O5" s="24"/>
      <c r="P5" s="24"/>
      <c r="Q5" s="24"/>
      <c r="R5" s="24"/>
      <c r="S5" s="24"/>
      <c r="T5" s="24"/>
      <c r="U5" s="24"/>
      <c r="V5" s="24"/>
      <c r="W5" s="24"/>
      <c r="X5" s="24"/>
      <c r="Y5" s="24"/>
      <c r="Z5" s="24"/>
    </row>
    <row r="6">
      <c r="A6" s="61" t="s">
        <v>707</v>
      </c>
      <c r="B6" s="33" t="s">
        <v>924</v>
      </c>
      <c r="C6" s="35" t="s">
        <v>925</v>
      </c>
      <c r="D6" s="62">
        <v>45665.0</v>
      </c>
      <c r="E6" s="37">
        <v>2100.0</v>
      </c>
      <c r="F6" s="36">
        <v>135.0</v>
      </c>
      <c r="G6" s="36">
        <v>0.0</v>
      </c>
      <c r="H6" s="35" t="s">
        <v>927</v>
      </c>
      <c r="I6" s="36">
        <v>7.0</v>
      </c>
      <c r="J6" s="63" t="s">
        <v>933</v>
      </c>
      <c r="K6" s="24"/>
      <c r="L6" s="24"/>
      <c r="M6" s="24"/>
      <c r="N6" s="24"/>
      <c r="O6" s="24"/>
      <c r="P6" s="24"/>
      <c r="Q6" s="24"/>
      <c r="R6" s="24"/>
      <c r="S6" s="24"/>
      <c r="T6" s="24"/>
      <c r="U6" s="24"/>
      <c r="V6" s="24"/>
      <c r="W6" s="24"/>
      <c r="X6" s="24"/>
      <c r="Y6" s="24"/>
      <c r="Z6" s="24"/>
    </row>
    <row r="7">
      <c r="A7" s="61" t="s">
        <v>707</v>
      </c>
      <c r="B7" s="33" t="s">
        <v>924</v>
      </c>
      <c r="C7" s="35" t="s">
        <v>925</v>
      </c>
      <c r="D7" s="62">
        <v>45665.0</v>
      </c>
      <c r="E7" s="37">
        <v>1300.0</v>
      </c>
      <c r="F7" s="36">
        <v>83.0</v>
      </c>
      <c r="G7" s="36">
        <v>0.0</v>
      </c>
      <c r="H7" s="35" t="s">
        <v>927</v>
      </c>
      <c r="I7" s="36">
        <v>8.0</v>
      </c>
      <c r="J7" s="63" t="s">
        <v>934</v>
      </c>
      <c r="K7" s="24"/>
      <c r="L7" s="24"/>
      <c r="M7" s="24"/>
      <c r="N7" s="24"/>
      <c r="O7" s="24"/>
      <c r="P7" s="24"/>
      <c r="Q7" s="24"/>
      <c r="R7" s="24"/>
      <c r="S7" s="24"/>
      <c r="T7" s="24"/>
      <c r="U7" s="24"/>
      <c r="V7" s="24"/>
      <c r="W7" s="24"/>
      <c r="X7" s="24"/>
      <c r="Y7" s="24"/>
      <c r="Z7" s="24"/>
    </row>
    <row r="8">
      <c r="A8" s="61" t="s">
        <v>700</v>
      </c>
      <c r="B8" s="33" t="s">
        <v>924</v>
      </c>
      <c r="C8" s="35" t="s">
        <v>925</v>
      </c>
      <c r="D8" s="62">
        <v>45846.0</v>
      </c>
      <c r="E8" s="37">
        <v>5600.0</v>
      </c>
      <c r="F8" s="36">
        <v>580.0</v>
      </c>
      <c r="G8" s="36">
        <v>5.0</v>
      </c>
      <c r="H8" s="35" t="s">
        <v>935</v>
      </c>
      <c r="I8" s="36">
        <v>2.0</v>
      </c>
      <c r="J8" s="63" t="s">
        <v>936</v>
      </c>
      <c r="K8" s="24"/>
      <c r="L8" s="24"/>
      <c r="M8" s="24"/>
      <c r="N8" s="24"/>
      <c r="O8" s="24"/>
      <c r="P8" s="24"/>
      <c r="Q8" s="24"/>
      <c r="R8" s="24"/>
      <c r="S8" s="24"/>
      <c r="T8" s="24"/>
      <c r="U8" s="24"/>
      <c r="V8" s="24"/>
      <c r="W8" s="24"/>
      <c r="X8" s="24"/>
      <c r="Y8" s="24"/>
      <c r="Z8" s="24"/>
    </row>
    <row r="9">
      <c r="A9" s="61" t="s">
        <v>696</v>
      </c>
      <c r="B9" s="33" t="s">
        <v>924</v>
      </c>
      <c r="C9" s="35" t="s">
        <v>925</v>
      </c>
      <c r="D9" s="62">
        <v>45846.0</v>
      </c>
      <c r="E9" s="37">
        <v>3900.0</v>
      </c>
      <c r="F9" s="36">
        <v>269.0</v>
      </c>
      <c r="G9" s="36">
        <v>1.0</v>
      </c>
      <c r="H9" s="35" t="s">
        <v>937</v>
      </c>
      <c r="I9" s="36">
        <v>6.0</v>
      </c>
      <c r="J9" s="63" t="s">
        <v>938</v>
      </c>
      <c r="K9" s="24"/>
      <c r="L9" s="24"/>
      <c r="M9" s="24"/>
      <c r="N9" s="24"/>
      <c r="O9" s="24"/>
      <c r="P9" s="24"/>
      <c r="Q9" s="24"/>
      <c r="R9" s="24"/>
      <c r="S9" s="24"/>
      <c r="T9" s="24"/>
      <c r="U9" s="24"/>
      <c r="V9" s="24"/>
      <c r="W9" s="24"/>
      <c r="X9" s="24"/>
      <c r="Y9" s="24"/>
      <c r="Z9" s="24"/>
    </row>
    <row r="10">
      <c r="A10" s="61" t="s">
        <v>764</v>
      </c>
      <c r="B10" s="33" t="s">
        <v>924</v>
      </c>
      <c r="C10" s="35" t="s">
        <v>925</v>
      </c>
      <c r="D10" s="62">
        <v>45846.0</v>
      </c>
      <c r="E10" s="37">
        <v>1900.0</v>
      </c>
      <c r="F10" s="36">
        <v>118.0</v>
      </c>
      <c r="G10" s="36">
        <v>0.0</v>
      </c>
      <c r="H10" s="35" t="s">
        <v>937</v>
      </c>
      <c r="I10" s="36">
        <v>2.0</v>
      </c>
      <c r="J10" s="63" t="s">
        <v>939</v>
      </c>
      <c r="K10" s="24"/>
      <c r="L10" s="24"/>
      <c r="M10" s="24"/>
      <c r="N10" s="24"/>
      <c r="O10" s="24"/>
      <c r="P10" s="24"/>
      <c r="Q10" s="24"/>
      <c r="R10" s="24"/>
      <c r="S10" s="24"/>
      <c r="T10" s="24"/>
      <c r="U10" s="24"/>
      <c r="V10" s="24"/>
      <c r="W10" s="24"/>
      <c r="X10" s="24"/>
      <c r="Y10" s="24"/>
      <c r="Z10" s="24"/>
    </row>
    <row r="11">
      <c r="A11" s="61" t="s">
        <v>700</v>
      </c>
      <c r="B11" s="33" t="s">
        <v>924</v>
      </c>
      <c r="C11" s="35" t="s">
        <v>925</v>
      </c>
      <c r="D11" s="62">
        <v>45846.0</v>
      </c>
      <c r="E11" s="37">
        <v>1500.0</v>
      </c>
      <c r="F11" s="36">
        <v>98.0</v>
      </c>
      <c r="G11" s="36">
        <v>0.0</v>
      </c>
      <c r="H11" s="35" t="s">
        <v>935</v>
      </c>
      <c r="I11" s="36">
        <v>2.0</v>
      </c>
      <c r="J11" s="63" t="s">
        <v>940</v>
      </c>
      <c r="K11" s="24"/>
      <c r="L11" s="24"/>
      <c r="M11" s="24"/>
      <c r="N11" s="24"/>
      <c r="O11" s="24"/>
      <c r="P11" s="24"/>
      <c r="Q11" s="24"/>
      <c r="R11" s="24"/>
      <c r="S11" s="24"/>
      <c r="T11" s="24"/>
      <c r="U11" s="24"/>
      <c r="V11" s="24"/>
      <c r="W11" s="24"/>
      <c r="X11" s="24"/>
      <c r="Y11" s="24"/>
      <c r="Z11" s="24"/>
    </row>
    <row r="12">
      <c r="A12" s="61" t="s">
        <v>941</v>
      </c>
      <c r="B12" s="33" t="s">
        <v>942</v>
      </c>
      <c r="C12" s="35" t="s">
        <v>943</v>
      </c>
      <c r="D12" s="62" t="s">
        <v>944</v>
      </c>
      <c r="E12" s="37">
        <v>6600.0</v>
      </c>
      <c r="F12" s="36">
        <v>577.0</v>
      </c>
      <c r="G12" s="36">
        <v>4.0</v>
      </c>
      <c r="H12" s="35" t="s">
        <v>927</v>
      </c>
      <c r="I12" s="36">
        <v>4.0</v>
      </c>
      <c r="J12" s="63" t="s">
        <v>945</v>
      </c>
      <c r="K12" s="24"/>
      <c r="L12" s="24"/>
      <c r="M12" s="24"/>
      <c r="N12" s="24"/>
      <c r="O12" s="24"/>
      <c r="P12" s="24"/>
      <c r="Q12" s="24"/>
      <c r="R12" s="24"/>
      <c r="S12" s="24"/>
      <c r="T12" s="24"/>
      <c r="U12" s="24"/>
      <c r="V12" s="24"/>
      <c r="W12" s="24"/>
      <c r="X12" s="24"/>
      <c r="Y12" s="24"/>
      <c r="Z12" s="24"/>
    </row>
    <row r="13">
      <c r="A13" s="61" t="s">
        <v>946</v>
      </c>
      <c r="B13" s="33" t="s">
        <v>942</v>
      </c>
      <c r="C13" s="35" t="s">
        <v>943</v>
      </c>
      <c r="D13" s="62">
        <v>45934.0</v>
      </c>
      <c r="E13" s="37">
        <v>4300.0</v>
      </c>
      <c r="F13" s="36">
        <v>351.0</v>
      </c>
      <c r="G13" s="36">
        <v>2.0</v>
      </c>
      <c r="H13" s="35" t="s">
        <v>927</v>
      </c>
      <c r="I13" s="36">
        <v>3.0</v>
      </c>
      <c r="J13" s="63" t="s">
        <v>947</v>
      </c>
      <c r="K13" s="24"/>
      <c r="L13" s="24"/>
      <c r="M13" s="24"/>
      <c r="N13" s="24"/>
      <c r="O13" s="24"/>
      <c r="P13" s="24"/>
      <c r="Q13" s="24"/>
      <c r="R13" s="24"/>
      <c r="S13" s="24"/>
      <c r="T13" s="24"/>
      <c r="U13" s="24"/>
      <c r="V13" s="24"/>
      <c r="W13" s="24"/>
      <c r="X13" s="24"/>
      <c r="Y13" s="24"/>
      <c r="Z13" s="24"/>
    </row>
    <row r="14">
      <c r="A14" s="61" t="s">
        <v>946</v>
      </c>
      <c r="B14" s="33" t="s">
        <v>942</v>
      </c>
      <c r="C14" s="35" t="s">
        <v>943</v>
      </c>
      <c r="D14" s="62">
        <v>45873.0</v>
      </c>
      <c r="E14" s="37">
        <v>4100.0</v>
      </c>
      <c r="F14" s="36">
        <v>287.0</v>
      </c>
      <c r="G14" s="36">
        <v>2.0</v>
      </c>
      <c r="H14" s="35" t="s">
        <v>927</v>
      </c>
      <c r="I14" s="36">
        <v>6.0</v>
      </c>
      <c r="J14" s="63" t="s">
        <v>948</v>
      </c>
      <c r="K14" s="24"/>
      <c r="L14" s="24"/>
      <c r="M14" s="24"/>
      <c r="N14" s="24"/>
      <c r="O14" s="24"/>
      <c r="P14" s="24"/>
      <c r="Q14" s="24"/>
      <c r="R14" s="24"/>
      <c r="S14" s="24"/>
      <c r="T14" s="24"/>
      <c r="U14" s="24"/>
      <c r="V14" s="24"/>
      <c r="W14" s="24"/>
      <c r="X14" s="24"/>
      <c r="Y14" s="24"/>
      <c r="Z14" s="24"/>
    </row>
    <row r="15">
      <c r="A15" s="61" t="s">
        <v>946</v>
      </c>
      <c r="B15" s="33" t="s">
        <v>942</v>
      </c>
      <c r="C15" s="35" t="s">
        <v>943</v>
      </c>
      <c r="D15" s="62" t="s">
        <v>949</v>
      </c>
      <c r="E15" s="37">
        <v>3400.0</v>
      </c>
      <c r="F15" s="36">
        <v>269.0</v>
      </c>
      <c r="G15" s="36">
        <v>0.0</v>
      </c>
      <c r="H15" s="35" t="s">
        <v>927</v>
      </c>
      <c r="I15" s="36">
        <v>6.0</v>
      </c>
      <c r="J15" s="63" t="s">
        <v>950</v>
      </c>
      <c r="K15" s="24"/>
      <c r="L15" s="24"/>
      <c r="M15" s="24"/>
      <c r="N15" s="24"/>
      <c r="O15" s="24"/>
      <c r="P15" s="24"/>
      <c r="Q15" s="24"/>
      <c r="R15" s="24"/>
      <c r="S15" s="24"/>
      <c r="T15" s="24"/>
      <c r="U15" s="24"/>
      <c r="V15" s="24"/>
      <c r="W15" s="24"/>
      <c r="X15" s="24"/>
      <c r="Y15" s="24"/>
      <c r="Z15" s="24"/>
    </row>
    <row r="16">
      <c r="A16" s="61" t="s">
        <v>951</v>
      </c>
      <c r="B16" s="33" t="s">
        <v>952</v>
      </c>
      <c r="C16" s="35" t="s">
        <v>953</v>
      </c>
      <c r="D16" s="62">
        <v>45810.0</v>
      </c>
      <c r="E16" s="37">
        <v>7000.0</v>
      </c>
      <c r="F16" s="36">
        <v>586.0</v>
      </c>
      <c r="G16" s="36">
        <v>1.0</v>
      </c>
      <c r="H16" s="35" t="s">
        <v>927</v>
      </c>
      <c r="I16" s="36">
        <v>12.0</v>
      </c>
      <c r="J16" s="63" t="s">
        <v>954</v>
      </c>
      <c r="K16" s="24"/>
      <c r="L16" s="24"/>
      <c r="M16" s="24"/>
      <c r="N16" s="24"/>
      <c r="O16" s="24"/>
      <c r="P16" s="24"/>
      <c r="Q16" s="24"/>
      <c r="R16" s="24"/>
      <c r="S16" s="24"/>
      <c r="T16" s="24"/>
      <c r="U16" s="24"/>
      <c r="V16" s="24"/>
      <c r="W16" s="24"/>
      <c r="X16" s="24"/>
      <c r="Y16" s="24"/>
      <c r="Z16" s="24"/>
    </row>
    <row r="17">
      <c r="A17" s="61" t="s">
        <v>955</v>
      </c>
      <c r="B17" s="33" t="s">
        <v>956</v>
      </c>
      <c r="C17" s="35" t="s">
        <v>957</v>
      </c>
      <c r="D17" s="62">
        <v>45810.0</v>
      </c>
      <c r="E17" s="37">
        <v>8300.0</v>
      </c>
      <c r="F17" s="36">
        <v>843.0</v>
      </c>
      <c r="G17" s="36">
        <v>4.0</v>
      </c>
      <c r="H17" s="35" t="s">
        <v>927</v>
      </c>
      <c r="I17" s="36">
        <v>10.0</v>
      </c>
      <c r="J17" s="63" t="s">
        <v>958</v>
      </c>
      <c r="K17" s="24"/>
      <c r="L17" s="24"/>
      <c r="M17" s="24"/>
      <c r="N17" s="24"/>
      <c r="O17" s="24"/>
      <c r="P17" s="24"/>
      <c r="Q17" s="24"/>
      <c r="R17" s="24"/>
      <c r="S17" s="24"/>
      <c r="T17" s="24"/>
      <c r="U17" s="24"/>
      <c r="V17" s="24"/>
      <c r="W17" s="24"/>
      <c r="X17" s="24"/>
      <c r="Y17" s="24"/>
      <c r="Z17" s="24"/>
    </row>
    <row r="18">
      <c r="A18" s="61" t="s">
        <v>959</v>
      </c>
      <c r="B18" s="33" t="s">
        <v>960</v>
      </c>
      <c r="C18" s="35" t="s">
        <v>961</v>
      </c>
      <c r="D18" s="62" t="s">
        <v>962</v>
      </c>
      <c r="E18" s="37">
        <v>8900.0</v>
      </c>
      <c r="F18" s="36">
        <v>846.0</v>
      </c>
      <c r="G18" s="36">
        <v>2.0</v>
      </c>
      <c r="H18" s="35" t="s">
        <v>921</v>
      </c>
      <c r="I18" s="36">
        <v>3.0</v>
      </c>
      <c r="J18" s="63" t="s">
        <v>963</v>
      </c>
      <c r="K18" s="24"/>
      <c r="L18" s="24"/>
      <c r="M18" s="24"/>
      <c r="N18" s="24"/>
      <c r="O18" s="24"/>
      <c r="P18" s="24"/>
      <c r="Q18" s="24"/>
      <c r="R18" s="24"/>
      <c r="S18" s="24"/>
      <c r="T18" s="24"/>
      <c r="U18" s="24"/>
      <c r="V18" s="24"/>
      <c r="W18" s="24"/>
      <c r="X18" s="24"/>
      <c r="Y18" s="24"/>
      <c r="Z18" s="24"/>
    </row>
    <row r="19">
      <c r="A19" s="61" t="s">
        <v>964</v>
      </c>
      <c r="B19" s="33" t="s">
        <v>965</v>
      </c>
      <c r="C19" s="35" t="s">
        <v>961</v>
      </c>
      <c r="D19" s="62">
        <v>45997.0</v>
      </c>
      <c r="E19" s="37">
        <v>9600.0</v>
      </c>
      <c r="F19" s="36">
        <v>592.0</v>
      </c>
      <c r="G19" s="36">
        <v>4.0</v>
      </c>
      <c r="H19" s="35" t="s">
        <v>921</v>
      </c>
      <c r="I19" s="36">
        <v>7.0</v>
      </c>
      <c r="J19" s="63" t="s">
        <v>966</v>
      </c>
      <c r="K19" s="24"/>
      <c r="L19" s="24"/>
      <c r="M19" s="24"/>
      <c r="N19" s="24"/>
      <c r="O19" s="24"/>
      <c r="P19" s="24"/>
      <c r="Q19" s="24"/>
      <c r="R19" s="24"/>
      <c r="S19" s="24"/>
      <c r="T19" s="24"/>
      <c r="U19" s="24"/>
      <c r="V19" s="24"/>
      <c r="W19" s="24"/>
      <c r="X19" s="24"/>
      <c r="Y19" s="24"/>
      <c r="Z19" s="24"/>
    </row>
    <row r="20">
      <c r="A20" s="61" t="s">
        <v>967</v>
      </c>
      <c r="B20" s="33" t="s">
        <v>965</v>
      </c>
      <c r="C20" s="35" t="s">
        <v>961</v>
      </c>
      <c r="D20" s="62">
        <v>45997.0</v>
      </c>
      <c r="E20" s="37">
        <v>4400.0</v>
      </c>
      <c r="F20" s="36">
        <v>388.0</v>
      </c>
      <c r="G20" s="36">
        <v>1.0</v>
      </c>
      <c r="H20" s="35" t="s">
        <v>927</v>
      </c>
      <c r="I20" s="36">
        <v>5.0</v>
      </c>
      <c r="J20" s="63" t="s">
        <v>968</v>
      </c>
      <c r="K20" s="24"/>
      <c r="L20" s="24"/>
      <c r="M20" s="24"/>
      <c r="N20" s="24"/>
      <c r="O20" s="24"/>
      <c r="P20" s="24"/>
      <c r="Q20" s="24"/>
      <c r="R20" s="24"/>
      <c r="S20" s="24"/>
      <c r="T20" s="24"/>
      <c r="U20" s="24"/>
      <c r="V20" s="24"/>
      <c r="W20" s="24"/>
      <c r="X20" s="24"/>
      <c r="Y20" s="24"/>
      <c r="Z20" s="24"/>
    </row>
    <row r="21">
      <c r="A21" s="61" t="s">
        <v>969</v>
      </c>
      <c r="B21" s="33" t="s">
        <v>965</v>
      </c>
      <c r="C21" s="35" t="s">
        <v>961</v>
      </c>
      <c r="D21" s="62">
        <v>45997.0</v>
      </c>
      <c r="E21" s="37">
        <v>8200.0</v>
      </c>
      <c r="F21" s="36">
        <v>780.0</v>
      </c>
      <c r="G21" s="36">
        <v>4.0</v>
      </c>
      <c r="H21" s="35" t="s">
        <v>935</v>
      </c>
      <c r="I21" s="36">
        <v>9.0</v>
      </c>
      <c r="J21" s="63" t="s">
        <v>970</v>
      </c>
      <c r="K21" s="24"/>
      <c r="L21" s="24"/>
      <c r="M21" s="24"/>
      <c r="N21" s="24"/>
      <c r="O21" s="24"/>
      <c r="P21" s="24"/>
      <c r="Q21" s="24"/>
      <c r="R21" s="24"/>
      <c r="S21" s="24"/>
      <c r="T21" s="24"/>
      <c r="U21" s="24"/>
      <c r="V21" s="24"/>
      <c r="W21" s="24"/>
      <c r="X21" s="24"/>
      <c r="Y21" s="24"/>
      <c r="Z21" s="24"/>
    </row>
    <row r="22">
      <c r="A22" s="61" t="s">
        <v>847</v>
      </c>
      <c r="B22" s="33" t="s">
        <v>971</v>
      </c>
      <c r="C22" s="35" t="s">
        <v>972</v>
      </c>
      <c r="D22" s="62">
        <v>46026.0</v>
      </c>
      <c r="E22" s="37">
        <v>2800.0</v>
      </c>
      <c r="F22" s="36">
        <v>303.0</v>
      </c>
      <c r="G22" s="36">
        <v>2.0</v>
      </c>
      <c r="H22" s="35" t="s">
        <v>935</v>
      </c>
      <c r="I22" s="36">
        <v>6.0</v>
      </c>
      <c r="J22" s="63" t="s">
        <v>973</v>
      </c>
      <c r="K22" s="24"/>
      <c r="L22" s="24"/>
      <c r="M22" s="24"/>
      <c r="N22" s="24"/>
      <c r="O22" s="24"/>
      <c r="P22" s="24"/>
      <c r="Q22" s="24"/>
      <c r="R22" s="24"/>
      <c r="S22" s="24"/>
      <c r="T22" s="24"/>
      <c r="U22" s="24"/>
      <c r="V22" s="24"/>
      <c r="W22" s="24"/>
      <c r="X22" s="24"/>
      <c r="Y22" s="24"/>
      <c r="Z22" s="24"/>
    </row>
    <row r="23">
      <c r="A23" s="61" t="s">
        <v>843</v>
      </c>
      <c r="B23" s="33" t="s">
        <v>971</v>
      </c>
      <c r="C23" s="35" t="s">
        <v>972</v>
      </c>
      <c r="D23" s="62">
        <v>46026.0</v>
      </c>
      <c r="E23" s="37">
        <v>1500.0</v>
      </c>
      <c r="F23" s="36">
        <v>148.0</v>
      </c>
      <c r="G23" s="36">
        <v>3.0</v>
      </c>
      <c r="H23" s="35" t="s">
        <v>935</v>
      </c>
      <c r="I23" s="36">
        <v>5.0</v>
      </c>
      <c r="J23" s="63" t="s">
        <v>974</v>
      </c>
      <c r="K23" s="24"/>
      <c r="L23" s="24"/>
      <c r="M23" s="24"/>
      <c r="N23" s="24"/>
      <c r="O23" s="24"/>
      <c r="P23" s="24"/>
      <c r="Q23" s="24"/>
      <c r="R23" s="24"/>
      <c r="S23" s="24"/>
      <c r="T23" s="24"/>
      <c r="U23" s="24"/>
      <c r="V23" s="24"/>
      <c r="W23" s="24"/>
      <c r="X23" s="24"/>
      <c r="Y23" s="24"/>
      <c r="Z23" s="24"/>
    </row>
    <row r="24">
      <c r="A24" s="61" t="s">
        <v>975</v>
      </c>
      <c r="B24" s="33" t="s">
        <v>971</v>
      </c>
      <c r="C24" s="35" t="s">
        <v>972</v>
      </c>
      <c r="D24" s="62" t="s">
        <v>976</v>
      </c>
      <c r="E24" s="37">
        <v>1500.0</v>
      </c>
      <c r="F24" s="36">
        <v>170.0</v>
      </c>
      <c r="G24" s="36">
        <v>0.0</v>
      </c>
      <c r="H24" s="35" t="s">
        <v>927</v>
      </c>
      <c r="I24" s="36">
        <v>4.0</v>
      </c>
      <c r="J24" s="63" t="s">
        <v>977</v>
      </c>
      <c r="K24" s="24"/>
      <c r="L24" s="24"/>
      <c r="M24" s="24"/>
      <c r="N24" s="24"/>
      <c r="O24" s="24"/>
      <c r="P24" s="24"/>
      <c r="Q24" s="24"/>
      <c r="R24" s="24"/>
      <c r="S24" s="24"/>
      <c r="T24" s="24"/>
      <c r="U24" s="24"/>
      <c r="V24" s="24"/>
      <c r="W24" s="24"/>
      <c r="X24" s="24"/>
      <c r="Y24" s="24"/>
      <c r="Z24" s="24"/>
    </row>
    <row r="25">
      <c r="A25" s="61" t="s">
        <v>975</v>
      </c>
      <c r="B25" s="33" t="s">
        <v>971</v>
      </c>
      <c r="C25" s="35" t="s">
        <v>972</v>
      </c>
      <c r="D25" s="62" t="s">
        <v>976</v>
      </c>
      <c r="E25" s="37">
        <v>1200.0</v>
      </c>
      <c r="F25" s="36">
        <v>107.0</v>
      </c>
      <c r="G25" s="36">
        <v>0.0</v>
      </c>
      <c r="H25" s="35" t="s">
        <v>927</v>
      </c>
      <c r="I25" s="36">
        <v>4.0</v>
      </c>
      <c r="J25" s="63" t="s">
        <v>978</v>
      </c>
      <c r="K25" s="24"/>
      <c r="L25" s="24"/>
      <c r="M25" s="24"/>
      <c r="N25" s="24"/>
      <c r="O25" s="24"/>
      <c r="P25" s="24"/>
      <c r="Q25" s="24"/>
      <c r="R25" s="24"/>
      <c r="S25" s="24"/>
      <c r="T25" s="24"/>
      <c r="U25" s="24"/>
      <c r="V25" s="24"/>
      <c r="W25" s="24"/>
      <c r="X25" s="24"/>
      <c r="Y25" s="24"/>
      <c r="Z25" s="24"/>
    </row>
    <row r="26">
      <c r="A26" s="61" t="s">
        <v>809</v>
      </c>
      <c r="B26" s="33" t="s">
        <v>979</v>
      </c>
      <c r="C26" s="35" t="s">
        <v>972</v>
      </c>
      <c r="D26" s="62">
        <v>46175.0</v>
      </c>
      <c r="E26" s="37">
        <v>1700.0</v>
      </c>
      <c r="F26" s="36">
        <v>170.0</v>
      </c>
      <c r="G26" s="36">
        <v>2.0</v>
      </c>
      <c r="H26" s="35" t="s">
        <v>927</v>
      </c>
      <c r="I26" s="36">
        <v>3.0</v>
      </c>
      <c r="J26" s="63" t="s">
        <v>980</v>
      </c>
      <c r="K26" s="24"/>
      <c r="L26" s="24"/>
      <c r="M26" s="24"/>
      <c r="N26" s="24"/>
      <c r="O26" s="24"/>
      <c r="P26" s="24"/>
      <c r="Q26" s="24"/>
      <c r="R26" s="24"/>
      <c r="S26" s="24"/>
      <c r="T26" s="24"/>
      <c r="U26" s="24"/>
      <c r="V26" s="24"/>
      <c r="W26" s="24"/>
      <c r="X26" s="24"/>
      <c r="Y26" s="24"/>
      <c r="Z26" s="24"/>
    </row>
    <row r="27">
      <c r="A27" s="61" t="s">
        <v>981</v>
      </c>
      <c r="B27" s="33" t="s">
        <v>982</v>
      </c>
      <c r="C27" s="35" t="s">
        <v>983</v>
      </c>
      <c r="D27" s="62">
        <v>45994.0</v>
      </c>
      <c r="E27" s="37">
        <v>3600.0</v>
      </c>
      <c r="F27" s="36">
        <v>292.0</v>
      </c>
      <c r="G27" s="36">
        <v>3.0</v>
      </c>
      <c r="H27" s="35" t="s">
        <v>921</v>
      </c>
      <c r="I27" s="36">
        <v>3.0</v>
      </c>
      <c r="J27" s="63" t="s">
        <v>984</v>
      </c>
      <c r="K27" s="24"/>
      <c r="L27" s="24"/>
      <c r="M27" s="24"/>
      <c r="N27" s="24"/>
      <c r="O27" s="24"/>
      <c r="P27" s="24"/>
      <c r="Q27" s="24"/>
      <c r="R27" s="24"/>
      <c r="S27" s="24"/>
      <c r="T27" s="24"/>
      <c r="U27" s="24"/>
      <c r="V27" s="24"/>
      <c r="W27" s="24"/>
      <c r="X27" s="24"/>
      <c r="Y27" s="24"/>
      <c r="Z27" s="24"/>
    </row>
    <row r="28">
      <c r="A28" s="61" t="s">
        <v>985</v>
      </c>
      <c r="B28" s="33" t="s">
        <v>982</v>
      </c>
      <c r="C28" s="35" t="s">
        <v>983</v>
      </c>
      <c r="D28" s="62">
        <v>45964.0</v>
      </c>
      <c r="E28" s="37">
        <v>5400.0</v>
      </c>
      <c r="F28" s="36">
        <v>456.0</v>
      </c>
      <c r="G28" s="36">
        <v>4.0</v>
      </c>
      <c r="H28" s="35" t="s">
        <v>921</v>
      </c>
      <c r="I28" s="36">
        <v>3.0</v>
      </c>
      <c r="J28" s="63" t="s">
        <v>984</v>
      </c>
      <c r="K28" s="24"/>
      <c r="L28" s="24"/>
      <c r="M28" s="24"/>
      <c r="N28" s="24"/>
      <c r="O28" s="24"/>
      <c r="P28" s="24"/>
      <c r="Q28" s="24"/>
      <c r="R28" s="24"/>
      <c r="S28" s="24"/>
      <c r="T28" s="24"/>
      <c r="U28" s="24"/>
      <c r="V28" s="24"/>
      <c r="W28" s="24"/>
      <c r="X28" s="24"/>
      <c r="Y28" s="24"/>
      <c r="Z28" s="24"/>
    </row>
    <row r="29">
      <c r="A29" s="61" t="s">
        <v>986</v>
      </c>
      <c r="B29" s="33" t="s">
        <v>982</v>
      </c>
      <c r="C29" s="35" t="s">
        <v>983</v>
      </c>
      <c r="D29" s="62">
        <v>45994.0</v>
      </c>
      <c r="E29" s="37">
        <v>4100.0</v>
      </c>
      <c r="F29" s="36">
        <v>400.0</v>
      </c>
      <c r="G29" s="36">
        <v>1.0</v>
      </c>
      <c r="H29" s="35" t="s">
        <v>921</v>
      </c>
      <c r="I29" s="36">
        <v>3.0</v>
      </c>
      <c r="J29" s="63" t="s">
        <v>987</v>
      </c>
      <c r="K29" s="24"/>
      <c r="L29" s="24"/>
      <c r="M29" s="24"/>
      <c r="N29" s="24"/>
      <c r="O29" s="24"/>
      <c r="P29" s="24"/>
      <c r="Q29" s="24"/>
      <c r="R29" s="24"/>
      <c r="S29" s="24"/>
      <c r="T29" s="24"/>
      <c r="U29" s="24"/>
      <c r="V29" s="24"/>
      <c r="W29" s="24"/>
      <c r="X29" s="24"/>
      <c r="Y29" s="24"/>
      <c r="Z29" s="24"/>
    </row>
    <row r="30">
      <c r="A30" s="61" t="s">
        <v>988</v>
      </c>
      <c r="B30" s="33" t="s">
        <v>982</v>
      </c>
      <c r="C30" s="35" t="s">
        <v>983</v>
      </c>
      <c r="D30" s="62">
        <v>45964.0</v>
      </c>
      <c r="E30" s="37">
        <v>4200.0</v>
      </c>
      <c r="F30" s="36">
        <v>306.0</v>
      </c>
      <c r="G30" s="36">
        <v>2.0</v>
      </c>
      <c r="H30" s="35" t="s">
        <v>921</v>
      </c>
      <c r="I30" s="36">
        <v>3.0</v>
      </c>
      <c r="J30" s="63" t="s">
        <v>989</v>
      </c>
      <c r="K30" s="24"/>
      <c r="L30" s="24"/>
      <c r="M30" s="24"/>
      <c r="N30" s="24"/>
      <c r="O30" s="24"/>
      <c r="P30" s="24"/>
      <c r="Q30" s="24"/>
      <c r="R30" s="24"/>
      <c r="S30" s="24"/>
      <c r="T30" s="24"/>
      <c r="U30" s="24"/>
      <c r="V30" s="24"/>
      <c r="W30" s="24"/>
      <c r="X30" s="24"/>
      <c r="Y30" s="24"/>
      <c r="Z30" s="24"/>
    </row>
    <row r="31">
      <c r="A31" s="61" t="s">
        <v>990</v>
      </c>
      <c r="B31" s="33" t="s">
        <v>982</v>
      </c>
      <c r="C31" s="35" t="s">
        <v>983</v>
      </c>
      <c r="D31" s="62">
        <v>45964.0</v>
      </c>
      <c r="E31" s="37">
        <v>4300.0</v>
      </c>
      <c r="F31" s="36">
        <v>292.0</v>
      </c>
      <c r="G31" s="36">
        <v>0.0</v>
      </c>
      <c r="H31" s="35" t="s">
        <v>921</v>
      </c>
      <c r="I31" s="36">
        <v>3.0</v>
      </c>
      <c r="J31" s="63" t="s">
        <v>991</v>
      </c>
      <c r="K31" s="24"/>
      <c r="L31" s="24"/>
      <c r="M31" s="24"/>
      <c r="N31" s="24"/>
      <c r="O31" s="24"/>
      <c r="P31" s="24"/>
      <c r="Q31" s="24"/>
      <c r="R31" s="24"/>
      <c r="S31" s="24"/>
      <c r="T31" s="24"/>
      <c r="U31" s="24"/>
      <c r="V31" s="24"/>
      <c r="W31" s="24"/>
      <c r="X31" s="24"/>
      <c r="Y31" s="24"/>
      <c r="Z31" s="24"/>
    </row>
    <row r="32">
      <c r="A32" s="61" t="s">
        <v>992</v>
      </c>
      <c r="B32" s="33" t="s">
        <v>982</v>
      </c>
      <c r="C32" s="35" t="s">
        <v>983</v>
      </c>
      <c r="D32" s="62" t="s">
        <v>993</v>
      </c>
      <c r="E32" s="37">
        <v>2800.0</v>
      </c>
      <c r="F32" s="36">
        <v>181.0</v>
      </c>
      <c r="G32" s="36">
        <v>1.0</v>
      </c>
      <c r="H32" s="35" t="s">
        <v>921</v>
      </c>
      <c r="I32" s="36">
        <v>3.0</v>
      </c>
      <c r="J32" s="63" t="s">
        <v>994</v>
      </c>
      <c r="K32" s="24"/>
      <c r="L32" s="24"/>
      <c r="M32" s="24"/>
      <c r="N32" s="24"/>
      <c r="O32" s="24"/>
      <c r="P32" s="24"/>
      <c r="Q32" s="24"/>
      <c r="R32" s="24"/>
      <c r="S32" s="24"/>
      <c r="T32" s="24"/>
      <c r="U32" s="24"/>
      <c r="V32" s="24"/>
      <c r="W32" s="24"/>
      <c r="X32" s="24"/>
      <c r="Y32" s="24"/>
      <c r="Z32" s="24"/>
    </row>
    <row r="33">
      <c r="A33" s="61" t="s">
        <v>995</v>
      </c>
      <c r="B33" s="33" t="s">
        <v>982</v>
      </c>
      <c r="C33" s="35" t="s">
        <v>983</v>
      </c>
      <c r="D33" s="62" t="s">
        <v>996</v>
      </c>
      <c r="E33" s="37">
        <v>3000.0</v>
      </c>
      <c r="F33" s="36">
        <v>174.0</v>
      </c>
      <c r="G33" s="36">
        <v>0.0</v>
      </c>
      <c r="H33" s="35" t="s">
        <v>921</v>
      </c>
      <c r="I33" s="36">
        <v>3.0</v>
      </c>
      <c r="J33" s="63" t="s">
        <v>997</v>
      </c>
      <c r="K33" s="24"/>
      <c r="L33" s="24"/>
      <c r="M33" s="24"/>
      <c r="N33" s="24"/>
      <c r="O33" s="24"/>
      <c r="P33" s="24"/>
      <c r="Q33" s="24"/>
      <c r="R33" s="24"/>
      <c r="S33" s="24"/>
      <c r="T33" s="24"/>
      <c r="U33" s="24"/>
      <c r="V33" s="24"/>
      <c r="W33" s="24"/>
      <c r="X33" s="24"/>
      <c r="Y33" s="24"/>
      <c r="Z33" s="24"/>
    </row>
    <row r="34">
      <c r="A34" s="61" t="s">
        <v>998</v>
      </c>
      <c r="B34" s="33" t="s">
        <v>982</v>
      </c>
      <c r="C34" s="35" t="s">
        <v>983</v>
      </c>
      <c r="D34" s="62" t="s">
        <v>996</v>
      </c>
      <c r="E34" s="37">
        <v>2500.0</v>
      </c>
      <c r="F34" s="36">
        <v>188.0</v>
      </c>
      <c r="G34" s="36">
        <v>0.0</v>
      </c>
      <c r="H34" s="35" t="s">
        <v>921</v>
      </c>
      <c r="I34" s="36">
        <v>3.0</v>
      </c>
      <c r="J34" s="63" t="s">
        <v>999</v>
      </c>
      <c r="K34" s="24"/>
      <c r="L34" s="24"/>
      <c r="M34" s="24"/>
      <c r="N34" s="24"/>
      <c r="O34" s="24"/>
      <c r="P34" s="24"/>
      <c r="Q34" s="24"/>
      <c r="R34" s="24"/>
      <c r="S34" s="24"/>
      <c r="T34" s="24"/>
      <c r="U34" s="24"/>
      <c r="V34" s="24"/>
      <c r="W34" s="24"/>
      <c r="X34" s="24"/>
      <c r="Y34" s="24"/>
      <c r="Z34" s="24"/>
    </row>
    <row r="35">
      <c r="A35" s="61" t="s">
        <v>1000</v>
      </c>
      <c r="B35" s="33" t="s">
        <v>982</v>
      </c>
      <c r="C35" s="35" t="s">
        <v>983</v>
      </c>
      <c r="D35" s="62" t="s">
        <v>993</v>
      </c>
      <c r="E35" s="37">
        <v>2100.0</v>
      </c>
      <c r="F35" s="36">
        <v>130.0</v>
      </c>
      <c r="G35" s="36">
        <v>0.0</v>
      </c>
      <c r="H35" s="35" t="s">
        <v>921</v>
      </c>
      <c r="I35" s="36">
        <v>3.0</v>
      </c>
      <c r="J35" s="63" t="s">
        <v>1001</v>
      </c>
      <c r="K35" s="24"/>
      <c r="L35" s="24"/>
      <c r="M35" s="24"/>
      <c r="N35" s="24"/>
      <c r="O35" s="24"/>
      <c r="P35" s="24"/>
      <c r="Q35" s="24"/>
      <c r="R35" s="24"/>
      <c r="S35" s="24"/>
      <c r="T35" s="24"/>
      <c r="U35" s="24"/>
      <c r="V35" s="24"/>
      <c r="W35" s="24"/>
      <c r="X35" s="24"/>
      <c r="Y35" s="24"/>
      <c r="Z35" s="24"/>
    </row>
    <row r="36">
      <c r="A36" s="61" t="s">
        <v>1002</v>
      </c>
      <c r="B36" s="33" t="s">
        <v>982</v>
      </c>
      <c r="C36" s="35" t="s">
        <v>983</v>
      </c>
      <c r="D36" s="62" t="s">
        <v>1003</v>
      </c>
      <c r="E36" s="37">
        <v>1900.0</v>
      </c>
      <c r="F36" s="36">
        <v>133.0</v>
      </c>
      <c r="G36" s="36">
        <v>0.0</v>
      </c>
      <c r="H36" s="35" t="s">
        <v>921</v>
      </c>
      <c r="I36" s="36">
        <v>3.0</v>
      </c>
      <c r="J36" s="63" t="s">
        <v>1004</v>
      </c>
      <c r="K36" s="24"/>
      <c r="L36" s="24"/>
      <c r="M36" s="24"/>
      <c r="N36" s="24"/>
      <c r="O36" s="24"/>
      <c r="P36" s="24"/>
      <c r="Q36" s="24"/>
      <c r="R36" s="24"/>
      <c r="S36" s="24"/>
      <c r="T36" s="24"/>
      <c r="U36" s="24"/>
      <c r="V36" s="24"/>
      <c r="W36" s="24"/>
      <c r="X36" s="24"/>
      <c r="Y36" s="24"/>
      <c r="Z36" s="24"/>
    </row>
    <row r="37">
      <c r="A37" s="61" t="s">
        <v>1005</v>
      </c>
      <c r="B37" s="33" t="s">
        <v>1006</v>
      </c>
      <c r="C37" s="35" t="s">
        <v>1007</v>
      </c>
      <c r="D37" s="62" t="s">
        <v>1008</v>
      </c>
      <c r="E37" s="37">
        <v>2300.0</v>
      </c>
      <c r="F37" s="36">
        <v>137.0</v>
      </c>
      <c r="G37" s="36">
        <v>1.0</v>
      </c>
      <c r="H37" s="35" t="s">
        <v>921</v>
      </c>
      <c r="I37" s="36">
        <v>10.0</v>
      </c>
      <c r="J37" s="63" t="s">
        <v>1009</v>
      </c>
      <c r="K37" s="24"/>
      <c r="L37" s="24"/>
      <c r="M37" s="24"/>
      <c r="N37" s="24"/>
      <c r="O37" s="24"/>
      <c r="P37" s="24"/>
      <c r="Q37" s="24"/>
      <c r="R37" s="24"/>
      <c r="S37" s="24"/>
      <c r="T37" s="24"/>
      <c r="U37" s="24"/>
      <c r="V37" s="24"/>
      <c r="W37" s="24"/>
      <c r="X37" s="24"/>
      <c r="Y37" s="24"/>
      <c r="Z37" s="24"/>
    </row>
    <row r="38">
      <c r="A38" s="61" t="s">
        <v>1010</v>
      </c>
      <c r="B38" s="33" t="s">
        <v>1006</v>
      </c>
      <c r="C38" s="35" t="s">
        <v>1007</v>
      </c>
      <c r="D38" s="62" t="s">
        <v>1011</v>
      </c>
      <c r="E38" s="37">
        <v>2400.0</v>
      </c>
      <c r="F38" s="36">
        <v>121.0</v>
      </c>
      <c r="G38" s="36">
        <v>0.0</v>
      </c>
      <c r="H38" s="35" t="s">
        <v>921</v>
      </c>
      <c r="I38" s="36">
        <v>4.0</v>
      </c>
      <c r="J38" s="63" t="s">
        <v>1012</v>
      </c>
      <c r="K38" s="24"/>
      <c r="L38" s="24"/>
      <c r="M38" s="24"/>
      <c r="N38" s="24"/>
      <c r="O38" s="24"/>
      <c r="P38" s="24"/>
      <c r="Q38" s="24"/>
      <c r="R38" s="24"/>
      <c r="S38" s="24"/>
      <c r="T38" s="24"/>
      <c r="U38" s="24"/>
      <c r="V38" s="24"/>
      <c r="W38" s="24"/>
      <c r="X38" s="24"/>
      <c r="Y38" s="24"/>
      <c r="Z38" s="24"/>
    </row>
    <row r="39">
      <c r="A39" s="61" t="s">
        <v>1013</v>
      </c>
      <c r="B39" s="33" t="s">
        <v>1006</v>
      </c>
      <c r="C39" s="35" t="s">
        <v>1007</v>
      </c>
      <c r="D39" s="62" t="s">
        <v>1011</v>
      </c>
      <c r="E39" s="37">
        <v>1200.0</v>
      </c>
      <c r="F39" s="36">
        <v>57.0</v>
      </c>
      <c r="G39" s="36">
        <v>0.0</v>
      </c>
      <c r="H39" s="35" t="s">
        <v>921</v>
      </c>
      <c r="I39" s="36">
        <v>3.0</v>
      </c>
      <c r="J39" s="63" t="s">
        <v>1014</v>
      </c>
      <c r="K39" s="24"/>
      <c r="L39" s="24"/>
      <c r="M39" s="24"/>
      <c r="N39" s="24"/>
      <c r="O39" s="24"/>
      <c r="P39" s="24"/>
      <c r="Q39" s="24"/>
      <c r="R39" s="24"/>
      <c r="S39" s="24"/>
      <c r="T39" s="24"/>
      <c r="U39" s="24"/>
      <c r="V39" s="24"/>
      <c r="W39" s="24"/>
      <c r="X39" s="24"/>
      <c r="Y39" s="24"/>
      <c r="Z39" s="24"/>
    </row>
    <row r="40">
      <c r="A40" s="61" t="s">
        <v>1015</v>
      </c>
      <c r="B40" s="33" t="s">
        <v>1006</v>
      </c>
      <c r="C40" s="35" t="s">
        <v>1007</v>
      </c>
      <c r="D40" s="62" t="s">
        <v>1008</v>
      </c>
      <c r="E40" s="37">
        <v>1700.0</v>
      </c>
      <c r="F40" s="36">
        <v>87.0</v>
      </c>
      <c r="G40" s="36">
        <v>2025.0</v>
      </c>
      <c r="H40" s="35" t="s">
        <v>921</v>
      </c>
      <c r="I40" s="36">
        <v>9.0</v>
      </c>
      <c r="J40" s="63" t="s">
        <v>1016</v>
      </c>
      <c r="K40" s="24"/>
      <c r="L40" s="24"/>
      <c r="M40" s="24"/>
      <c r="N40" s="24"/>
      <c r="O40" s="24"/>
      <c r="P40" s="24"/>
      <c r="Q40" s="24"/>
      <c r="R40" s="24"/>
      <c r="S40" s="24"/>
      <c r="T40" s="24"/>
      <c r="U40" s="24"/>
      <c r="V40" s="24"/>
      <c r="W40" s="24"/>
      <c r="X40" s="24"/>
      <c r="Y40" s="24"/>
      <c r="Z40" s="24"/>
    </row>
    <row r="41">
      <c r="A41" s="61" t="s">
        <v>1017</v>
      </c>
      <c r="B41" s="33" t="s">
        <v>1006</v>
      </c>
      <c r="C41" s="35" t="s">
        <v>1007</v>
      </c>
      <c r="D41" s="62">
        <v>45661.0</v>
      </c>
      <c r="E41" s="37">
        <v>2100.0</v>
      </c>
      <c r="F41" s="36">
        <v>93.0</v>
      </c>
      <c r="G41" s="36">
        <v>1.0</v>
      </c>
      <c r="H41" s="35" t="s">
        <v>921</v>
      </c>
      <c r="I41" s="36">
        <v>7.0</v>
      </c>
      <c r="J41" s="63" t="s">
        <v>1018</v>
      </c>
      <c r="K41" s="24"/>
      <c r="L41" s="24"/>
      <c r="M41" s="24"/>
      <c r="N41" s="24"/>
      <c r="O41" s="24"/>
      <c r="P41" s="24"/>
      <c r="Q41" s="24"/>
      <c r="R41" s="24"/>
      <c r="S41" s="24"/>
      <c r="T41" s="24"/>
      <c r="U41" s="24"/>
      <c r="V41" s="24"/>
      <c r="W41" s="24"/>
      <c r="X41" s="24"/>
      <c r="Y41" s="24"/>
      <c r="Z41" s="24"/>
    </row>
    <row r="42">
      <c r="A42" s="61" t="s">
        <v>1019</v>
      </c>
      <c r="B42" s="33" t="s">
        <v>1006</v>
      </c>
      <c r="C42" s="35" t="s">
        <v>1007</v>
      </c>
      <c r="D42" s="62">
        <v>45661.0</v>
      </c>
      <c r="E42" s="37">
        <v>1700.0</v>
      </c>
      <c r="F42" s="36">
        <v>83.0</v>
      </c>
      <c r="G42" s="36">
        <v>0.0</v>
      </c>
      <c r="H42" s="35" t="s">
        <v>921</v>
      </c>
      <c r="I42" s="36">
        <v>3.0</v>
      </c>
      <c r="J42" s="63" t="s">
        <v>1020</v>
      </c>
      <c r="K42" s="24"/>
      <c r="L42" s="24"/>
      <c r="M42" s="24"/>
      <c r="N42" s="24"/>
      <c r="O42" s="24"/>
      <c r="P42" s="24"/>
      <c r="Q42" s="24"/>
      <c r="R42" s="24"/>
      <c r="S42" s="24"/>
      <c r="T42" s="24"/>
      <c r="U42" s="24"/>
      <c r="V42" s="24"/>
      <c r="W42" s="24"/>
      <c r="X42" s="24"/>
      <c r="Y42" s="24"/>
      <c r="Z42" s="24"/>
    </row>
    <row r="43">
      <c r="A43" s="61" t="s">
        <v>1021</v>
      </c>
      <c r="B43" s="33" t="s">
        <v>1006</v>
      </c>
      <c r="C43" s="35" t="s">
        <v>1007</v>
      </c>
      <c r="D43" s="62">
        <v>45661.0</v>
      </c>
      <c r="E43" s="37">
        <v>1100.0</v>
      </c>
      <c r="F43" s="36">
        <v>64.0</v>
      </c>
      <c r="G43" s="36">
        <v>0.0</v>
      </c>
      <c r="H43" s="35" t="s">
        <v>921</v>
      </c>
      <c r="I43" s="36">
        <v>8.0</v>
      </c>
      <c r="J43" s="63" t="s">
        <v>1022</v>
      </c>
      <c r="K43" s="24"/>
      <c r="L43" s="24"/>
      <c r="M43" s="24"/>
      <c r="N43" s="24"/>
      <c r="O43" s="24"/>
      <c r="P43" s="24"/>
      <c r="Q43" s="24"/>
      <c r="R43" s="24"/>
      <c r="S43" s="24"/>
      <c r="T43" s="24"/>
      <c r="U43" s="24"/>
      <c r="V43" s="24"/>
      <c r="W43" s="24"/>
      <c r="X43" s="24"/>
      <c r="Y43" s="24"/>
      <c r="Z43" s="24"/>
    </row>
    <row r="44">
      <c r="A44" s="61" t="s">
        <v>1023</v>
      </c>
      <c r="B44" s="33" t="s">
        <v>1024</v>
      </c>
      <c r="C44" s="35" t="s">
        <v>1025</v>
      </c>
      <c r="D44" s="62">
        <v>45692.0</v>
      </c>
      <c r="E44" s="37">
        <v>1100.0</v>
      </c>
      <c r="F44" s="36">
        <v>80.0</v>
      </c>
      <c r="G44" s="36">
        <v>0.0</v>
      </c>
      <c r="H44" s="35" t="s">
        <v>921</v>
      </c>
      <c r="I44" s="36">
        <v>3.0</v>
      </c>
      <c r="J44" s="63" t="s">
        <v>1026</v>
      </c>
      <c r="K44" s="24"/>
      <c r="L44" s="24"/>
      <c r="M44" s="24"/>
      <c r="N44" s="24"/>
      <c r="O44" s="24"/>
      <c r="P44" s="24"/>
      <c r="Q44" s="24"/>
      <c r="R44" s="24"/>
      <c r="S44" s="24"/>
      <c r="T44" s="24"/>
      <c r="U44" s="24"/>
      <c r="V44" s="24"/>
      <c r="W44" s="24"/>
      <c r="X44" s="24"/>
      <c r="Y44" s="24"/>
      <c r="Z44" s="24"/>
    </row>
    <row r="45">
      <c r="A45" s="61" t="s">
        <v>1027</v>
      </c>
      <c r="B45" s="33" t="s">
        <v>1024</v>
      </c>
      <c r="C45" s="35" t="s">
        <v>1025</v>
      </c>
      <c r="D45" s="62">
        <v>45720.0</v>
      </c>
      <c r="E45" s="37">
        <v>1200.0</v>
      </c>
      <c r="F45" s="36">
        <v>80.0</v>
      </c>
      <c r="G45" s="36">
        <v>0.0</v>
      </c>
      <c r="H45" s="35" t="s">
        <v>921</v>
      </c>
      <c r="I45" s="36">
        <v>3.0</v>
      </c>
      <c r="J45" s="63" t="s">
        <v>1028</v>
      </c>
      <c r="K45" s="24"/>
      <c r="L45" s="24"/>
      <c r="M45" s="24"/>
      <c r="N45" s="24"/>
      <c r="O45" s="24"/>
      <c r="P45" s="24"/>
      <c r="Q45" s="24"/>
      <c r="R45" s="24"/>
      <c r="S45" s="24"/>
      <c r="T45" s="24"/>
      <c r="U45" s="24"/>
      <c r="V45" s="24"/>
      <c r="W45" s="24"/>
      <c r="X45" s="24"/>
      <c r="Y45" s="24"/>
      <c r="Z45" s="24"/>
    </row>
    <row r="46">
      <c r="A46" s="61" t="s">
        <v>1029</v>
      </c>
      <c r="B46" s="33" t="s">
        <v>1024</v>
      </c>
      <c r="C46" s="35" t="s">
        <v>1025</v>
      </c>
      <c r="D46" s="62">
        <v>45751.0</v>
      </c>
      <c r="E46" s="37">
        <v>827.0</v>
      </c>
      <c r="F46" s="36">
        <v>69.0</v>
      </c>
      <c r="G46" s="36">
        <v>0.0</v>
      </c>
      <c r="H46" s="35" t="s">
        <v>921</v>
      </c>
      <c r="I46" s="36">
        <v>2.0</v>
      </c>
      <c r="J46" s="63" t="s">
        <v>1030</v>
      </c>
      <c r="K46" s="24"/>
      <c r="L46" s="24"/>
      <c r="M46" s="24"/>
      <c r="N46" s="24"/>
      <c r="O46" s="24"/>
      <c r="P46" s="24"/>
      <c r="Q46" s="24"/>
      <c r="R46" s="24"/>
      <c r="S46" s="24"/>
      <c r="T46" s="24"/>
      <c r="U46" s="24"/>
      <c r="V46" s="24"/>
      <c r="W46" s="24"/>
      <c r="X46" s="24"/>
      <c r="Y46" s="24"/>
      <c r="Z46" s="24"/>
    </row>
    <row r="47">
      <c r="A47" s="61" t="s">
        <v>1031</v>
      </c>
      <c r="B47" s="33" t="s">
        <v>1024</v>
      </c>
      <c r="C47" s="35" t="s">
        <v>1025</v>
      </c>
      <c r="D47" s="62">
        <v>45692.0</v>
      </c>
      <c r="E47" s="37">
        <v>925.0</v>
      </c>
      <c r="F47" s="36">
        <v>58.0</v>
      </c>
      <c r="G47" s="36">
        <v>0.0</v>
      </c>
      <c r="H47" s="35" t="s">
        <v>921</v>
      </c>
      <c r="I47" s="36">
        <v>3.0</v>
      </c>
      <c r="J47" s="63" t="s">
        <v>1032</v>
      </c>
      <c r="K47" s="24"/>
      <c r="L47" s="24"/>
      <c r="M47" s="24"/>
      <c r="N47" s="24"/>
      <c r="O47" s="24"/>
      <c r="P47" s="24"/>
      <c r="Q47" s="24"/>
      <c r="R47" s="24"/>
      <c r="S47" s="24"/>
      <c r="T47" s="24"/>
      <c r="U47" s="24"/>
      <c r="V47" s="24"/>
      <c r="W47" s="24"/>
      <c r="X47" s="24"/>
      <c r="Y47" s="24"/>
      <c r="Z47" s="24"/>
    </row>
    <row r="48">
      <c r="A48" s="61" t="s">
        <v>1033</v>
      </c>
      <c r="B48" s="33" t="s">
        <v>1024</v>
      </c>
      <c r="C48" s="35" t="s">
        <v>1025</v>
      </c>
      <c r="D48" s="62">
        <v>45751.0</v>
      </c>
      <c r="E48" s="37">
        <v>1000.0</v>
      </c>
      <c r="F48" s="36">
        <v>72.0</v>
      </c>
      <c r="G48" s="36">
        <v>0.0</v>
      </c>
      <c r="H48" s="35" t="s">
        <v>921</v>
      </c>
      <c r="I48" s="36">
        <v>3.0</v>
      </c>
      <c r="J48" s="63" t="s">
        <v>1034</v>
      </c>
      <c r="K48" s="24"/>
      <c r="L48" s="24"/>
      <c r="M48" s="24"/>
      <c r="N48" s="24"/>
      <c r="O48" s="24"/>
      <c r="P48" s="24"/>
      <c r="Q48" s="24"/>
      <c r="R48" s="24"/>
      <c r="S48" s="24"/>
      <c r="T48" s="24"/>
      <c r="U48" s="24"/>
      <c r="V48" s="24"/>
      <c r="W48" s="24"/>
      <c r="X48" s="24"/>
      <c r="Y48" s="24"/>
      <c r="Z48" s="24"/>
    </row>
    <row r="49">
      <c r="A49" s="61" t="s">
        <v>1035</v>
      </c>
      <c r="B49" s="33" t="s">
        <v>1024</v>
      </c>
      <c r="C49" s="35" t="s">
        <v>1025</v>
      </c>
      <c r="D49" s="62">
        <v>45720.0</v>
      </c>
      <c r="E49" s="37">
        <v>1200.0</v>
      </c>
      <c r="F49" s="36">
        <v>57.0</v>
      </c>
      <c r="G49" s="36">
        <v>1.0</v>
      </c>
      <c r="H49" s="35" t="s">
        <v>921</v>
      </c>
      <c r="I49" s="36">
        <v>4.0</v>
      </c>
      <c r="J49" s="63" t="s">
        <v>1036</v>
      </c>
      <c r="K49" s="24"/>
      <c r="L49" s="24"/>
      <c r="M49" s="24"/>
      <c r="N49" s="24"/>
      <c r="O49" s="24"/>
      <c r="P49" s="24"/>
      <c r="Q49" s="24"/>
      <c r="R49" s="24"/>
      <c r="S49" s="24"/>
      <c r="T49" s="24"/>
      <c r="U49" s="24"/>
      <c r="V49" s="24"/>
      <c r="W49" s="24"/>
      <c r="X49" s="24"/>
      <c r="Y49" s="24"/>
      <c r="Z49" s="24"/>
    </row>
    <row r="50">
      <c r="A50" s="61" t="s">
        <v>760</v>
      </c>
      <c r="B50" s="33" t="s">
        <v>1037</v>
      </c>
      <c r="C50" s="35" t="s">
        <v>1038</v>
      </c>
      <c r="D50" s="62" t="s">
        <v>1039</v>
      </c>
      <c r="E50" s="37">
        <v>5600.0</v>
      </c>
      <c r="F50" s="36">
        <v>567.0</v>
      </c>
      <c r="G50" s="36">
        <v>2.0</v>
      </c>
      <c r="H50" s="35" t="s">
        <v>1040</v>
      </c>
      <c r="I50" s="36">
        <v>3.0</v>
      </c>
      <c r="J50" s="63" t="s">
        <v>1041</v>
      </c>
      <c r="K50" s="24"/>
      <c r="L50" s="24"/>
      <c r="M50" s="24"/>
      <c r="N50" s="24"/>
      <c r="O50" s="24"/>
      <c r="P50" s="24"/>
      <c r="Q50" s="24"/>
      <c r="R50" s="24"/>
      <c r="S50" s="24"/>
      <c r="T50" s="24"/>
      <c r="U50" s="24"/>
      <c r="V50" s="24"/>
      <c r="W50" s="24"/>
      <c r="X50" s="24"/>
      <c r="Y50" s="24"/>
      <c r="Z50" s="24"/>
    </row>
    <row r="51">
      <c r="A51" s="61" t="s">
        <v>752</v>
      </c>
      <c r="B51" s="33" t="s">
        <v>1037</v>
      </c>
      <c r="C51" s="35" t="s">
        <v>1038</v>
      </c>
      <c r="D51" s="62" t="s">
        <v>1039</v>
      </c>
      <c r="E51" s="37">
        <v>5300.0</v>
      </c>
      <c r="F51" s="36">
        <v>665.0</v>
      </c>
      <c r="G51" s="36">
        <v>0.0</v>
      </c>
      <c r="H51" s="35" t="s">
        <v>1040</v>
      </c>
      <c r="I51" s="36">
        <v>1.0</v>
      </c>
      <c r="J51" s="63" t="s">
        <v>1042</v>
      </c>
      <c r="K51" s="24"/>
      <c r="L51" s="24"/>
      <c r="M51" s="24"/>
      <c r="N51" s="24"/>
      <c r="O51" s="24"/>
      <c r="P51" s="24"/>
      <c r="Q51" s="24"/>
      <c r="R51" s="24"/>
      <c r="S51" s="24"/>
      <c r="T51" s="24"/>
      <c r="U51" s="24"/>
      <c r="V51" s="24"/>
      <c r="W51" s="24"/>
      <c r="X51" s="24"/>
      <c r="Y51" s="24"/>
      <c r="Z51" s="24"/>
    </row>
    <row r="52">
      <c r="A52" s="61" t="s">
        <v>756</v>
      </c>
      <c r="B52" s="33" t="s">
        <v>1037</v>
      </c>
      <c r="C52" s="35" t="s">
        <v>1038</v>
      </c>
      <c r="D52" s="62" t="s">
        <v>1039</v>
      </c>
      <c r="E52" s="37">
        <v>5100.0</v>
      </c>
      <c r="F52" s="36">
        <v>560.0</v>
      </c>
      <c r="G52" s="36">
        <v>2.0</v>
      </c>
      <c r="H52" s="35" t="s">
        <v>1040</v>
      </c>
      <c r="I52" s="36">
        <v>2.0</v>
      </c>
      <c r="J52" s="63" t="s">
        <v>1043</v>
      </c>
      <c r="K52" s="24"/>
      <c r="L52" s="24"/>
      <c r="M52" s="24"/>
      <c r="N52" s="24"/>
      <c r="O52" s="24"/>
      <c r="P52" s="24"/>
      <c r="Q52" s="24"/>
      <c r="R52" s="24"/>
      <c r="S52" s="24"/>
      <c r="T52" s="24"/>
      <c r="U52" s="24"/>
      <c r="V52" s="24"/>
      <c r="W52" s="24"/>
      <c r="X52" s="24"/>
      <c r="Y52" s="24"/>
      <c r="Z52" s="24"/>
    </row>
    <row r="53">
      <c r="A53" s="61" t="s">
        <v>1044</v>
      </c>
      <c r="B53" s="33" t="s">
        <v>1045</v>
      </c>
      <c r="C53" s="35" t="s">
        <v>1046</v>
      </c>
      <c r="D53" s="62" t="s">
        <v>1047</v>
      </c>
      <c r="E53" s="37">
        <v>32700.0</v>
      </c>
      <c r="F53" s="36">
        <v>2000.0</v>
      </c>
      <c r="G53" s="36">
        <v>31.0</v>
      </c>
      <c r="H53" s="35" t="s">
        <v>935</v>
      </c>
      <c r="I53" s="36">
        <v>14.0</v>
      </c>
      <c r="J53" s="63" t="s">
        <v>1048</v>
      </c>
      <c r="K53" s="24"/>
      <c r="L53" s="24"/>
      <c r="M53" s="24"/>
      <c r="N53" s="24"/>
      <c r="O53" s="24"/>
      <c r="P53" s="24"/>
      <c r="Q53" s="24"/>
      <c r="R53" s="24"/>
      <c r="S53" s="24"/>
      <c r="T53" s="24"/>
      <c r="U53" s="24"/>
      <c r="V53" s="24"/>
      <c r="W53" s="24"/>
      <c r="X53" s="24"/>
      <c r="Y53" s="24"/>
      <c r="Z53" s="24"/>
    </row>
    <row r="54">
      <c r="A54" s="61" t="s">
        <v>1049</v>
      </c>
      <c r="B54" s="33" t="s">
        <v>1045</v>
      </c>
      <c r="C54" s="35" t="s">
        <v>1046</v>
      </c>
      <c r="D54" s="62" t="s">
        <v>1050</v>
      </c>
      <c r="E54" s="37">
        <v>14800.0</v>
      </c>
      <c r="F54" s="36">
        <v>842.0</v>
      </c>
      <c r="G54" s="36">
        <v>16.0</v>
      </c>
      <c r="H54" s="35" t="s">
        <v>935</v>
      </c>
      <c r="I54" s="36">
        <v>12.0</v>
      </c>
      <c r="J54" s="63" t="s">
        <v>1051</v>
      </c>
      <c r="K54" s="24"/>
      <c r="L54" s="24"/>
      <c r="M54" s="24"/>
      <c r="N54" s="24"/>
      <c r="O54" s="24"/>
      <c r="P54" s="24"/>
      <c r="Q54" s="24"/>
      <c r="R54" s="24"/>
      <c r="S54" s="24"/>
      <c r="T54" s="24"/>
      <c r="U54" s="24"/>
      <c r="V54" s="24"/>
      <c r="W54" s="24"/>
      <c r="X54" s="24"/>
      <c r="Y54" s="24"/>
      <c r="Z54" s="24"/>
    </row>
    <row r="55">
      <c r="A55" s="61" t="s">
        <v>1052</v>
      </c>
      <c r="B55" s="33" t="s">
        <v>1045</v>
      </c>
      <c r="C55" s="35" t="s">
        <v>1046</v>
      </c>
      <c r="D55" s="62" t="s">
        <v>1053</v>
      </c>
      <c r="E55" s="37">
        <v>36800.0</v>
      </c>
      <c r="F55" s="36">
        <v>2600.0</v>
      </c>
      <c r="G55" s="36">
        <v>58.0</v>
      </c>
      <c r="H55" s="35" t="s">
        <v>935</v>
      </c>
      <c r="I55" s="36">
        <v>11.0</v>
      </c>
      <c r="J55" s="63" t="s">
        <v>1054</v>
      </c>
      <c r="K55" s="24"/>
      <c r="L55" s="24"/>
      <c r="M55" s="24"/>
      <c r="N55" s="24"/>
      <c r="O55" s="24"/>
      <c r="P55" s="24"/>
      <c r="Q55" s="24"/>
      <c r="R55" s="24"/>
      <c r="S55" s="24"/>
      <c r="T55" s="24"/>
      <c r="U55" s="24"/>
      <c r="V55" s="24"/>
      <c r="W55" s="24"/>
      <c r="X55" s="24"/>
      <c r="Y55" s="24"/>
      <c r="Z55" s="24"/>
    </row>
    <row r="56">
      <c r="A56" s="61" t="s">
        <v>1055</v>
      </c>
      <c r="B56" s="33" t="s">
        <v>1045</v>
      </c>
      <c r="C56" s="35" t="s">
        <v>1046</v>
      </c>
      <c r="D56" s="62" t="s">
        <v>1056</v>
      </c>
      <c r="E56" s="37">
        <v>13100.0</v>
      </c>
      <c r="F56" s="36">
        <v>585.0</v>
      </c>
      <c r="G56" s="36">
        <v>0.0</v>
      </c>
      <c r="H56" s="35" t="s">
        <v>935</v>
      </c>
      <c r="I56" s="36">
        <v>2.0</v>
      </c>
      <c r="J56" s="63" t="s">
        <v>1057</v>
      </c>
      <c r="K56" s="24"/>
      <c r="L56" s="24"/>
      <c r="M56" s="24"/>
      <c r="N56" s="24"/>
      <c r="O56" s="24"/>
      <c r="P56" s="24"/>
      <c r="Q56" s="24"/>
      <c r="R56" s="24"/>
      <c r="S56" s="24"/>
      <c r="T56" s="24"/>
      <c r="U56" s="24"/>
      <c r="V56" s="24"/>
      <c r="W56" s="24"/>
      <c r="X56" s="24"/>
      <c r="Y56" s="24"/>
      <c r="Z56" s="24"/>
    </row>
    <row r="57">
      <c r="A57" s="61" t="s">
        <v>1058</v>
      </c>
      <c r="B57" s="33" t="s">
        <v>982</v>
      </c>
      <c r="C57" s="35" t="s">
        <v>983</v>
      </c>
      <c r="D57" s="62">
        <v>45994.0</v>
      </c>
      <c r="E57" s="37">
        <v>2600.0</v>
      </c>
      <c r="F57" s="36">
        <v>181.0</v>
      </c>
      <c r="G57" s="36">
        <v>0.0</v>
      </c>
      <c r="H57" s="35" t="s">
        <v>921</v>
      </c>
      <c r="I57" s="36">
        <v>3.0</v>
      </c>
      <c r="J57" s="63" t="s">
        <v>1059</v>
      </c>
      <c r="K57" s="24"/>
      <c r="L57" s="24"/>
      <c r="M57" s="24"/>
      <c r="N57" s="24"/>
      <c r="O57" s="24"/>
      <c r="P57" s="24"/>
      <c r="Q57" s="24"/>
      <c r="R57" s="24"/>
      <c r="S57" s="24"/>
      <c r="T57" s="24"/>
      <c r="U57" s="24"/>
      <c r="V57" s="24"/>
      <c r="W57" s="24"/>
      <c r="X57" s="24"/>
      <c r="Y57" s="24"/>
      <c r="Z57" s="24"/>
    </row>
    <row r="58">
      <c r="A58" s="61" t="s">
        <v>1060</v>
      </c>
      <c r="B58" s="33" t="s">
        <v>982</v>
      </c>
      <c r="C58" s="35" t="s">
        <v>983</v>
      </c>
      <c r="D58" s="62" t="s">
        <v>996</v>
      </c>
      <c r="E58" s="37">
        <v>1900.0</v>
      </c>
      <c r="F58" s="36">
        <v>126.0</v>
      </c>
      <c r="G58" s="36">
        <v>1.0</v>
      </c>
      <c r="H58" s="35" t="s">
        <v>921</v>
      </c>
      <c r="I58" s="36">
        <v>3.0</v>
      </c>
      <c r="J58" s="63" t="s">
        <v>1061</v>
      </c>
      <c r="K58" s="24"/>
      <c r="L58" s="24"/>
      <c r="M58" s="24"/>
      <c r="N58" s="24"/>
      <c r="O58" s="24"/>
      <c r="P58" s="24"/>
      <c r="Q58" s="24"/>
      <c r="R58" s="24"/>
      <c r="S58" s="24"/>
      <c r="T58" s="24"/>
      <c r="U58" s="24"/>
      <c r="V58" s="24"/>
      <c r="W58" s="24"/>
      <c r="X58" s="24"/>
      <c r="Y58" s="24"/>
      <c r="Z58" s="24"/>
    </row>
    <row r="59">
      <c r="A59" s="61" t="s">
        <v>1062</v>
      </c>
      <c r="B59" s="33" t="s">
        <v>982</v>
      </c>
      <c r="C59" s="35" t="s">
        <v>983</v>
      </c>
      <c r="D59" s="62" t="s">
        <v>1003</v>
      </c>
      <c r="E59" s="37">
        <v>1700.0</v>
      </c>
      <c r="F59" s="36">
        <v>105.0</v>
      </c>
      <c r="G59" s="36">
        <v>0.0</v>
      </c>
      <c r="H59" s="35" t="s">
        <v>921</v>
      </c>
      <c r="I59" s="36">
        <v>3.0</v>
      </c>
      <c r="J59" s="63" t="s">
        <v>1063</v>
      </c>
      <c r="K59" s="24"/>
      <c r="L59" s="24"/>
      <c r="M59" s="24"/>
      <c r="N59" s="24"/>
      <c r="O59" s="24"/>
      <c r="P59" s="24"/>
      <c r="Q59" s="24"/>
      <c r="R59" s="24"/>
      <c r="S59" s="24"/>
      <c r="T59" s="24"/>
      <c r="U59" s="24"/>
      <c r="V59" s="24"/>
      <c r="W59" s="24"/>
      <c r="X59" s="24"/>
      <c r="Y59" s="24"/>
      <c r="Z59" s="24"/>
    </row>
    <row r="60">
      <c r="A60" s="61" t="s">
        <v>1064</v>
      </c>
      <c r="B60" s="33" t="s">
        <v>982</v>
      </c>
      <c r="C60" s="35" t="s">
        <v>983</v>
      </c>
      <c r="D60" s="62" t="s">
        <v>993</v>
      </c>
      <c r="E60" s="37">
        <v>1700.0</v>
      </c>
      <c r="F60" s="36">
        <v>81.0</v>
      </c>
      <c r="G60" s="36">
        <v>0.0</v>
      </c>
      <c r="H60" s="35" t="s">
        <v>921</v>
      </c>
      <c r="I60" s="36">
        <v>3.0</v>
      </c>
      <c r="J60" s="63" t="s">
        <v>1065</v>
      </c>
      <c r="K60" s="24"/>
      <c r="L60" s="24"/>
      <c r="M60" s="24"/>
      <c r="N60" s="24"/>
      <c r="O60" s="24"/>
      <c r="P60" s="24"/>
      <c r="Q60" s="24"/>
      <c r="R60" s="24"/>
      <c r="S60" s="24"/>
      <c r="T60" s="24"/>
      <c r="U60" s="24"/>
      <c r="V60" s="24"/>
      <c r="W60" s="24"/>
      <c r="X60" s="24"/>
      <c r="Y60" s="24"/>
      <c r="Z60" s="24"/>
    </row>
    <row r="61">
      <c r="A61" s="61" t="s">
        <v>1066</v>
      </c>
      <c r="B61" s="33" t="s">
        <v>982</v>
      </c>
      <c r="C61" s="35" t="s">
        <v>983</v>
      </c>
      <c r="D61" s="62" t="s">
        <v>993</v>
      </c>
      <c r="E61" s="37">
        <v>1600.0</v>
      </c>
      <c r="F61" s="36">
        <v>82.0</v>
      </c>
      <c r="G61" s="36">
        <v>0.0</v>
      </c>
      <c r="H61" s="35" t="s">
        <v>921</v>
      </c>
      <c r="I61" s="36">
        <v>2.0</v>
      </c>
      <c r="J61" s="63" t="s">
        <v>1067</v>
      </c>
      <c r="K61" s="24"/>
      <c r="L61" s="24"/>
      <c r="M61" s="24"/>
      <c r="N61" s="24"/>
      <c r="O61" s="24"/>
      <c r="P61" s="24"/>
      <c r="Q61" s="24"/>
      <c r="R61" s="24"/>
      <c r="S61" s="24"/>
      <c r="T61" s="24"/>
      <c r="U61" s="24"/>
      <c r="V61" s="24"/>
      <c r="W61" s="24"/>
      <c r="X61" s="24"/>
      <c r="Y61" s="24"/>
      <c r="Z61" s="24"/>
    </row>
    <row r="62">
      <c r="A62" s="64" t="s">
        <v>1068</v>
      </c>
      <c r="B62" s="41" t="s">
        <v>982</v>
      </c>
      <c r="C62" s="43" t="s">
        <v>983</v>
      </c>
      <c r="D62" s="65" t="s">
        <v>1003</v>
      </c>
      <c r="E62" s="45">
        <v>1800.0</v>
      </c>
      <c r="F62" s="44">
        <v>82.0</v>
      </c>
      <c r="G62" s="44">
        <v>1.0</v>
      </c>
      <c r="H62" s="43" t="s">
        <v>921</v>
      </c>
      <c r="I62" s="44">
        <v>3.0</v>
      </c>
      <c r="J62" s="66" t="s">
        <v>1069</v>
      </c>
      <c r="K62" s="24"/>
      <c r="L62" s="24"/>
      <c r="M62" s="24"/>
      <c r="N62" s="24"/>
      <c r="O62" s="24"/>
      <c r="P62" s="24"/>
      <c r="Q62" s="24"/>
      <c r="R62" s="24"/>
      <c r="S62" s="24"/>
      <c r="T62" s="24"/>
      <c r="U62" s="24"/>
      <c r="V62" s="24"/>
      <c r="W62" s="24"/>
      <c r="X62" s="24"/>
      <c r="Y62" s="24"/>
      <c r="Z62" s="24"/>
    </row>
    <row r="63">
      <c r="A63" s="24"/>
      <c r="B63" s="24"/>
      <c r="C63" s="24"/>
      <c r="D63" s="67"/>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67"/>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67"/>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67"/>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67"/>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67"/>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67"/>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67"/>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67"/>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67"/>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67"/>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67"/>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67"/>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67"/>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67"/>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67"/>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67"/>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67"/>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67"/>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67"/>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67"/>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67"/>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67"/>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67"/>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67"/>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67"/>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67"/>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67"/>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67"/>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67"/>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67"/>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67"/>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67"/>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67"/>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67"/>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67"/>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67"/>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67"/>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67"/>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67"/>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67"/>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67"/>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67"/>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67"/>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67"/>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67"/>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67"/>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67"/>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67"/>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67"/>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67"/>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67"/>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67"/>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67"/>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67"/>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67"/>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67"/>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67"/>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67"/>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67"/>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67"/>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67"/>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67"/>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67"/>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67"/>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67"/>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67"/>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67"/>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67"/>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67"/>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67"/>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67"/>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67"/>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67"/>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67"/>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67"/>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67"/>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67"/>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67"/>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67"/>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67"/>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67"/>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67"/>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67"/>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67"/>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67"/>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67"/>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67"/>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67"/>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67"/>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67"/>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67"/>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67"/>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67"/>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67"/>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67"/>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67"/>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67"/>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67"/>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67"/>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67"/>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67"/>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67"/>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67"/>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67"/>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67"/>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67"/>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67"/>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67"/>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67"/>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67"/>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67"/>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67"/>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67"/>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67"/>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67"/>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67"/>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67"/>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67"/>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67"/>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67"/>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67"/>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67"/>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67"/>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67"/>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67"/>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67"/>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67"/>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67"/>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67"/>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67"/>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67"/>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67"/>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67"/>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67"/>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67"/>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67"/>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67"/>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67"/>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67"/>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67"/>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67"/>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67"/>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67"/>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67"/>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67"/>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67"/>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67"/>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67"/>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67"/>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67"/>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67"/>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67"/>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67"/>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67"/>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67"/>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67"/>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67"/>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67"/>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67"/>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67"/>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67"/>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67"/>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67"/>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67"/>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67"/>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67"/>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67"/>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67"/>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67"/>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67"/>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67"/>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67"/>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67"/>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67"/>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67"/>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67"/>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67"/>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67"/>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67"/>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67"/>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67"/>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67"/>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67"/>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67"/>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67"/>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67"/>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67"/>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67"/>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67"/>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67"/>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67"/>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67"/>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67"/>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67"/>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67"/>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67"/>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67"/>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67"/>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67"/>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67"/>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67"/>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67"/>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67"/>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67"/>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67"/>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67"/>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67"/>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67"/>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67"/>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67"/>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67"/>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67"/>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67"/>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67"/>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67"/>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67"/>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67"/>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67"/>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67"/>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67"/>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67"/>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67"/>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67"/>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67"/>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67"/>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67"/>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67"/>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67"/>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67"/>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67"/>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67"/>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67"/>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67"/>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67"/>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67"/>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67"/>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67"/>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67"/>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67"/>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67"/>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67"/>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67"/>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67"/>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67"/>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67"/>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67"/>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67"/>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67"/>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67"/>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67"/>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67"/>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67"/>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67"/>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67"/>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67"/>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67"/>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67"/>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67"/>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67"/>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67"/>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67"/>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67"/>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67"/>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67"/>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67"/>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67"/>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67"/>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67"/>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67"/>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67"/>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67"/>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67"/>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67"/>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67"/>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67"/>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67"/>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67"/>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67"/>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67"/>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67"/>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67"/>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67"/>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67"/>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67"/>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67"/>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67"/>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67"/>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67"/>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67"/>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67"/>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67"/>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67"/>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67"/>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67"/>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67"/>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67"/>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67"/>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67"/>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67"/>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67"/>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67"/>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67"/>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67"/>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67"/>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67"/>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67"/>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67"/>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67"/>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67"/>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67"/>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67"/>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67"/>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67"/>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67"/>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67"/>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67"/>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67"/>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67"/>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67"/>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67"/>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67"/>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67"/>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67"/>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67"/>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67"/>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67"/>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67"/>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67"/>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67"/>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67"/>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67"/>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67"/>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67"/>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67"/>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67"/>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67"/>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67"/>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67"/>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67"/>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67"/>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67"/>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67"/>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67"/>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67"/>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67"/>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67"/>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67"/>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67"/>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67"/>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67"/>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67"/>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67"/>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67"/>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67"/>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67"/>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67"/>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67"/>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67"/>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67"/>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67"/>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67"/>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67"/>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67"/>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67"/>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67"/>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67"/>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67"/>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67"/>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67"/>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67"/>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67"/>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67"/>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67"/>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67"/>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67"/>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67"/>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67"/>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67"/>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67"/>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67"/>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67"/>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67"/>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67"/>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67"/>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67"/>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67"/>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67"/>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67"/>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67"/>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67"/>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67"/>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67"/>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67"/>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67"/>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67"/>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67"/>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67"/>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67"/>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67"/>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67"/>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67"/>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67"/>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67"/>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67"/>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67"/>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67"/>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67"/>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67"/>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67"/>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67"/>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67"/>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67"/>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67"/>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67"/>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67"/>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67"/>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67"/>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67"/>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67"/>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67"/>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67"/>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67"/>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67"/>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67"/>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67"/>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67"/>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67"/>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67"/>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67"/>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67"/>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67"/>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67"/>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67"/>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67"/>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67"/>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67"/>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67"/>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67"/>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67"/>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67"/>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67"/>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67"/>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67"/>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67"/>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67"/>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67"/>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67"/>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67"/>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67"/>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67"/>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67"/>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67"/>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67"/>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67"/>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67"/>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67"/>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67"/>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67"/>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67"/>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67"/>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67"/>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67"/>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67"/>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67"/>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67"/>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67"/>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67"/>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67"/>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67"/>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67"/>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67"/>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67"/>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67"/>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67"/>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67"/>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67"/>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67"/>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67"/>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67"/>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67"/>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67"/>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67"/>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67"/>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67"/>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67"/>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67"/>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67"/>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67"/>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67"/>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67"/>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67"/>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67"/>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67"/>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67"/>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67"/>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67"/>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67"/>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67"/>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67"/>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67"/>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67"/>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67"/>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67"/>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67"/>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67"/>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67"/>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67"/>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67"/>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67"/>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67"/>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67"/>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67"/>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67"/>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67"/>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67"/>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67"/>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67"/>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67"/>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67"/>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67"/>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67"/>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67"/>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67"/>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67"/>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67"/>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67"/>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67"/>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67"/>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67"/>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67"/>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67"/>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67"/>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67"/>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67"/>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67"/>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67"/>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67"/>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67"/>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67"/>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67"/>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67"/>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67"/>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67"/>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67"/>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67"/>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67"/>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67"/>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67"/>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67"/>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67"/>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67"/>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67"/>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67"/>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67"/>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67"/>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67"/>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67"/>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67"/>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67"/>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67"/>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67"/>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67"/>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67"/>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67"/>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67"/>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67"/>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67"/>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67"/>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67"/>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67"/>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67"/>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67"/>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67"/>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67"/>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67"/>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67"/>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67"/>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67"/>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67"/>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67"/>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67"/>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67"/>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67"/>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67"/>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67"/>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67"/>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67"/>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67"/>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67"/>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67"/>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67"/>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67"/>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67"/>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67"/>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67"/>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67"/>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67"/>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67"/>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67"/>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67"/>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67"/>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67"/>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67"/>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67"/>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67"/>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67"/>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67"/>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67"/>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67"/>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67"/>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67"/>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67"/>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67"/>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67"/>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67"/>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67"/>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67"/>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67"/>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67"/>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67"/>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67"/>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67"/>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67"/>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67"/>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67"/>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67"/>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67"/>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67"/>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67"/>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67"/>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67"/>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67"/>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67"/>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67"/>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67"/>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67"/>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67"/>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67"/>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67"/>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67"/>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67"/>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67"/>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67"/>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67"/>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67"/>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67"/>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67"/>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67"/>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67"/>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67"/>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67"/>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67"/>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67"/>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67"/>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67"/>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67"/>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67"/>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67"/>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67"/>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67"/>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67"/>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67"/>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67"/>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67"/>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67"/>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67"/>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67"/>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67"/>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67"/>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67"/>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67"/>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67"/>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67"/>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67"/>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67"/>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67"/>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67"/>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67"/>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67"/>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67"/>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67"/>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67"/>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67"/>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67"/>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67"/>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67"/>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67"/>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67"/>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67"/>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67"/>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67"/>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67"/>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67"/>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67"/>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67"/>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67"/>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67"/>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67"/>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67"/>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67"/>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67"/>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67"/>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67"/>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67"/>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67"/>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67"/>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67"/>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67"/>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67"/>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67"/>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67"/>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67"/>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67"/>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67"/>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67"/>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67"/>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67"/>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67"/>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67"/>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67"/>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67"/>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67"/>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67"/>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67"/>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67"/>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67"/>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67"/>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67"/>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67"/>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67"/>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67"/>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67"/>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67"/>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67"/>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67"/>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67"/>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67"/>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67"/>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67"/>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67"/>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67"/>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67"/>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67"/>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67"/>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67"/>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67"/>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67"/>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67"/>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67"/>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67"/>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67"/>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67"/>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67"/>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67"/>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67"/>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67"/>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67"/>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67"/>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67"/>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67"/>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67"/>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67"/>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67"/>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67"/>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67"/>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67"/>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67"/>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67"/>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67"/>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67"/>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67"/>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67"/>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67"/>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67"/>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67"/>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67"/>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67"/>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67"/>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67"/>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67"/>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67"/>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67"/>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67"/>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67"/>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67"/>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67"/>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67"/>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67"/>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67"/>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67"/>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67"/>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67"/>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67"/>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67"/>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67"/>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67"/>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67"/>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67"/>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67"/>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67"/>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67"/>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67"/>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67"/>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67"/>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67"/>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67"/>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67"/>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67"/>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67"/>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67"/>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67"/>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67"/>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67"/>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67"/>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67"/>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67"/>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67"/>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67"/>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67"/>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67"/>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67"/>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67"/>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67"/>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67"/>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67"/>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67"/>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67"/>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67"/>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67"/>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67"/>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67"/>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67"/>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67"/>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67"/>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67"/>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67"/>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67"/>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67"/>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67"/>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67"/>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67"/>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67"/>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67"/>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67"/>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67"/>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67"/>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67"/>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67"/>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67"/>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67"/>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67"/>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67"/>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67"/>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67"/>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67"/>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67"/>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67"/>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67"/>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67"/>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67"/>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67"/>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67"/>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67"/>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67"/>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67"/>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67"/>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67"/>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67"/>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67"/>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67"/>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67"/>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67"/>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67"/>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67"/>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67"/>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67"/>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67"/>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67"/>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67"/>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67"/>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67"/>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67"/>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67"/>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67"/>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67"/>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67"/>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67"/>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67"/>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67"/>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67"/>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67"/>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67"/>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67"/>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67"/>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67"/>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67"/>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67"/>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67"/>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67"/>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67"/>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67"/>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67"/>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67"/>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67"/>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67"/>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67"/>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67"/>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67"/>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67"/>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67"/>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67"/>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67"/>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67"/>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67"/>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67"/>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67"/>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67"/>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67"/>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67"/>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67"/>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67"/>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67"/>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67"/>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67"/>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67"/>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67"/>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67"/>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67"/>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67"/>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67"/>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67"/>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67"/>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67"/>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67"/>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67"/>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67"/>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67"/>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s>
  <drawing r:id="rId62"/>
  <tableParts count="1">
    <tablePart r:id="rId6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23.0"/>
    <col customWidth="1" min="8" max="8" width="14.75"/>
    <col customWidth="1" min="9" max="9" width="16.75"/>
  </cols>
  <sheetData>
    <row r="1">
      <c r="A1" s="68" t="s">
        <v>1070</v>
      </c>
      <c r="B1" s="69" t="s">
        <v>1071</v>
      </c>
      <c r="C1" s="68" t="s">
        <v>1072</v>
      </c>
      <c r="D1" s="68" t="s">
        <v>1073</v>
      </c>
      <c r="E1" s="68" t="s">
        <v>912</v>
      </c>
      <c r="F1" s="68" t="s">
        <v>913</v>
      </c>
      <c r="G1" s="68" t="s">
        <v>914</v>
      </c>
      <c r="H1" s="68" t="s">
        <v>1074</v>
      </c>
      <c r="I1" s="68" t="s">
        <v>1075</v>
      </c>
      <c r="J1" s="68" t="s">
        <v>38</v>
      </c>
    </row>
    <row r="2">
      <c r="A2" s="70" t="s">
        <v>5</v>
      </c>
      <c r="B2" s="71" t="s">
        <v>48</v>
      </c>
      <c r="C2" s="72">
        <f t="shared" ref="C2:C189" si="1">DATEVALUE(LEFT(B2,10))</f>
        <v>46001</v>
      </c>
      <c r="D2" s="73" t="str">
        <f t="shared" ref="D2:D430" si="2">TEXT(C2,"YYYY-MM")</f>
        <v>2025-12</v>
      </c>
      <c r="E2" s="74">
        <f t="shared" ref="E2:E136" si="3">ROUND(F2/0.04, 0)</f>
        <v>2200</v>
      </c>
      <c r="F2" s="37">
        <v>88.0</v>
      </c>
      <c r="G2" s="28">
        <v>1.0</v>
      </c>
      <c r="H2" s="74"/>
      <c r="I2" s="75">
        <f t="shared" ref="I2:I430" si="4">ROUND((F2+G2+H2)/E2*100, 2)</f>
        <v>4.05</v>
      </c>
      <c r="J2" s="48" t="s">
        <v>46</v>
      </c>
    </row>
    <row r="3">
      <c r="A3" s="76" t="s">
        <v>5</v>
      </c>
      <c r="B3" s="71" t="s">
        <v>53</v>
      </c>
      <c r="C3" s="71">
        <f t="shared" si="1"/>
        <v>46111</v>
      </c>
      <c r="D3" s="73" t="str">
        <f t="shared" si="2"/>
        <v>2026-03</v>
      </c>
      <c r="E3" s="74">
        <f t="shared" si="3"/>
        <v>3150</v>
      </c>
      <c r="F3" s="37">
        <v>126.0</v>
      </c>
      <c r="G3" s="36">
        <v>0.0</v>
      </c>
      <c r="H3" s="74"/>
      <c r="I3" s="74">
        <f t="shared" si="4"/>
        <v>4</v>
      </c>
      <c r="J3" s="48" t="s">
        <v>51</v>
      </c>
    </row>
    <row r="4">
      <c r="A4" s="76" t="s">
        <v>5</v>
      </c>
      <c r="B4" s="71" t="s">
        <v>57</v>
      </c>
      <c r="C4" s="71">
        <f t="shared" si="1"/>
        <v>45978</v>
      </c>
      <c r="D4" s="73" t="str">
        <f t="shared" si="2"/>
        <v>2025-11</v>
      </c>
      <c r="E4" s="74">
        <f t="shared" si="3"/>
        <v>2925</v>
      </c>
      <c r="F4" s="37">
        <v>117.0</v>
      </c>
      <c r="G4" s="36">
        <v>0.0</v>
      </c>
      <c r="H4" s="74"/>
      <c r="I4" s="74">
        <f t="shared" si="4"/>
        <v>4</v>
      </c>
      <c r="J4" s="48" t="s">
        <v>56</v>
      </c>
    </row>
    <row r="5">
      <c r="A5" s="76" t="s">
        <v>5</v>
      </c>
      <c r="B5" s="71" t="s">
        <v>62</v>
      </c>
      <c r="C5" s="71">
        <f t="shared" si="1"/>
        <v>46111</v>
      </c>
      <c r="D5" s="73" t="str">
        <f t="shared" si="2"/>
        <v>2026-03</v>
      </c>
      <c r="E5" s="74">
        <f t="shared" si="3"/>
        <v>2450</v>
      </c>
      <c r="F5" s="37">
        <v>98.0</v>
      </c>
      <c r="G5" s="36">
        <v>0.0</v>
      </c>
      <c r="H5" s="74"/>
      <c r="I5" s="74">
        <f t="shared" si="4"/>
        <v>4</v>
      </c>
      <c r="J5" s="48" t="s">
        <v>61</v>
      </c>
    </row>
    <row r="6">
      <c r="A6" s="76" t="s">
        <v>5</v>
      </c>
      <c r="B6" s="71" t="s">
        <v>66</v>
      </c>
      <c r="C6" s="71">
        <f t="shared" si="1"/>
        <v>46016</v>
      </c>
      <c r="D6" s="73" t="str">
        <f t="shared" si="2"/>
        <v>2025-12</v>
      </c>
      <c r="E6" s="74">
        <f t="shared" si="3"/>
        <v>3850</v>
      </c>
      <c r="F6" s="37">
        <v>154.0</v>
      </c>
      <c r="G6" s="36">
        <v>0.0</v>
      </c>
      <c r="H6" s="74"/>
      <c r="I6" s="74">
        <f t="shared" si="4"/>
        <v>4</v>
      </c>
      <c r="J6" s="48" t="s">
        <v>65</v>
      </c>
    </row>
    <row r="7">
      <c r="A7" s="76" t="s">
        <v>5</v>
      </c>
      <c r="B7" s="71" t="s">
        <v>70</v>
      </c>
      <c r="C7" s="71">
        <f t="shared" si="1"/>
        <v>46113</v>
      </c>
      <c r="D7" s="73" t="str">
        <f t="shared" si="2"/>
        <v>2026-04</v>
      </c>
      <c r="E7" s="74">
        <f t="shared" si="3"/>
        <v>4475</v>
      </c>
      <c r="F7" s="37">
        <v>179.0</v>
      </c>
      <c r="G7" s="36">
        <v>3.0</v>
      </c>
      <c r="H7" s="74"/>
      <c r="I7" s="74">
        <f t="shared" si="4"/>
        <v>4.07</v>
      </c>
      <c r="J7" s="48" t="s">
        <v>69</v>
      </c>
    </row>
    <row r="8">
      <c r="A8" s="76" t="s">
        <v>5</v>
      </c>
      <c r="B8" s="71" t="s">
        <v>74</v>
      </c>
      <c r="C8" s="71">
        <f t="shared" si="1"/>
        <v>46063</v>
      </c>
      <c r="D8" s="73" t="str">
        <f t="shared" si="2"/>
        <v>2026-02</v>
      </c>
      <c r="E8" s="74">
        <f t="shared" si="3"/>
        <v>2825</v>
      </c>
      <c r="F8" s="37">
        <v>113.0</v>
      </c>
      <c r="G8" s="36">
        <v>1.0</v>
      </c>
      <c r="H8" s="74"/>
      <c r="I8" s="74">
        <f t="shared" si="4"/>
        <v>4.04</v>
      </c>
      <c r="J8" s="48" t="s">
        <v>73</v>
      </c>
    </row>
    <row r="9">
      <c r="A9" s="76" t="s">
        <v>5</v>
      </c>
      <c r="B9" s="71" t="s">
        <v>78</v>
      </c>
      <c r="C9" s="71">
        <f t="shared" si="1"/>
        <v>46113</v>
      </c>
      <c r="D9" s="73" t="str">
        <f t="shared" si="2"/>
        <v>2026-04</v>
      </c>
      <c r="E9" s="74">
        <f t="shared" si="3"/>
        <v>6225</v>
      </c>
      <c r="F9" s="37">
        <v>249.0</v>
      </c>
      <c r="G9" s="36">
        <v>2.0</v>
      </c>
      <c r="H9" s="74"/>
      <c r="I9" s="74">
        <f t="shared" si="4"/>
        <v>4.03</v>
      </c>
      <c r="J9" s="48" t="s">
        <v>77</v>
      </c>
    </row>
    <row r="10">
      <c r="A10" s="76" t="s">
        <v>5</v>
      </c>
      <c r="B10" s="71" t="s">
        <v>82</v>
      </c>
      <c r="C10" s="71">
        <f t="shared" si="1"/>
        <v>45876</v>
      </c>
      <c r="D10" s="73" t="str">
        <f t="shared" si="2"/>
        <v>2025-08</v>
      </c>
      <c r="E10" s="74">
        <f t="shared" si="3"/>
        <v>4975</v>
      </c>
      <c r="F10" s="37">
        <v>199.0</v>
      </c>
      <c r="G10" s="36">
        <v>1.0</v>
      </c>
      <c r="H10" s="74"/>
      <c r="I10" s="74">
        <f t="shared" si="4"/>
        <v>4.02</v>
      </c>
      <c r="J10" s="48" t="s">
        <v>81</v>
      </c>
    </row>
    <row r="11">
      <c r="A11" s="76" t="s">
        <v>5</v>
      </c>
      <c r="B11" s="71" t="s">
        <v>87</v>
      </c>
      <c r="C11" s="71">
        <f t="shared" si="1"/>
        <v>45916</v>
      </c>
      <c r="D11" s="73" t="str">
        <f t="shared" si="2"/>
        <v>2025-09</v>
      </c>
      <c r="E11" s="74">
        <f t="shared" si="3"/>
        <v>2800</v>
      </c>
      <c r="F11" s="37">
        <v>112.0</v>
      </c>
      <c r="G11" s="36">
        <v>0.0</v>
      </c>
      <c r="H11" s="74"/>
      <c r="I11" s="74">
        <f t="shared" si="4"/>
        <v>4</v>
      </c>
      <c r="J11" s="48" t="s">
        <v>86</v>
      </c>
    </row>
    <row r="12">
      <c r="A12" s="76" t="s">
        <v>5</v>
      </c>
      <c r="B12" s="71" t="s">
        <v>92</v>
      </c>
      <c r="C12" s="71">
        <f t="shared" si="1"/>
        <v>45890</v>
      </c>
      <c r="D12" s="73" t="str">
        <f t="shared" si="2"/>
        <v>2025-08</v>
      </c>
      <c r="E12" s="74">
        <f t="shared" si="3"/>
        <v>2225</v>
      </c>
      <c r="F12" s="37">
        <v>89.0</v>
      </c>
      <c r="G12" s="36">
        <v>0.0</v>
      </c>
      <c r="H12" s="74"/>
      <c r="I12" s="74">
        <f t="shared" si="4"/>
        <v>4</v>
      </c>
      <c r="J12" s="48" t="s">
        <v>91</v>
      </c>
    </row>
    <row r="13">
      <c r="A13" s="76" t="s">
        <v>5</v>
      </c>
      <c r="B13" s="71" t="s">
        <v>96</v>
      </c>
      <c r="C13" s="71">
        <f t="shared" si="1"/>
        <v>45876</v>
      </c>
      <c r="D13" s="73" t="str">
        <f t="shared" si="2"/>
        <v>2025-08</v>
      </c>
      <c r="E13" s="74">
        <f t="shared" si="3"/>
        <v>2625</v>
      </c>
      <c r="F13" s="37">
        <v>105.0</v>
      </c>
      <c r="G13" s="36">
        <v>0.0</v>
      </c>
      <c r="H13" s="74"/>
      <c r="I13" s="74">
        <f t="shared" si="4"/>
        <v>4</v>
      </c>
      <c r="J13" s="48" t="s">
        <v>95</v>
      </c>
    </row>
    <row r="14">
      <c r="A14" s="76" t="s">
        <v>5</v>
      </c>
      <c r="B14" s="71" t="s">
        <v>101</v>
      </c>
      <c r="C14" s="71">
        <f t="shared" si="1"/>
        <v>45947</v>
      </c>
      <c r="D14" s="73" t="str">
        <f t="shared" si="2"/>
        <v>2025-10</v>
      </c>
      <c r="E14" s="74">
        <f t="shared" si="3"/>
        <v>7900</v>
      </c>
      <c r="F14" s="37">
        <v>316.0</v>
      </c>
      <c r="G14" s="36">
        <v>0.0</v>
      </c>
      <c r="H14" s="74"/>
      <c r="I14" s="74">
        <f t="shared" si="4"/>
        <v>4</v>
      </c>
      <c r="J14" s="48" t="s">
        <v>100</v>
      </c>
    </row>
    <row r="15">
      <c r="A15" s="76" t="s">
        <v>5</v>
      </c>
      <c r="B15" s="71" t="s">
        <v>105</v>
      </c>
      <c r="C15" s="71">
        <f t="shared" si="1"/>
        <v>45890</v>
      </c>
      <c r="D15" s="73" t="str">
        <f t="shared" si="2"/>
        <v>2025-08</v>
      </c>
      <c r="E15" s="74">
        <f t="shared" si="3"/>
        <v>3450</v>
      </c>
      <c r="F15" s="37">
        <v>138.0</v>
      </c>
      <c r="G15" s="36">
        <v>0.0</v>
      </c>
      <c r="H15" s="74"/>
      <c r="I15" s="74">
        <f t="shared" si="4"/>
        <v>4</v>
      </c>
      <c r="J15" s="48" t="s">
        <v>104</v>
      </c>
    </row>
    <row r="16">
      <c r="A16" s="76" t="s">
        <v>5</v>
      </c>
      <c r="B16" s="71" t="s">
        <v>110</v>
      </c>
      <c r="C16" s="71">
        <f t="shared" si="1"/>
        <v>45962</v>
      </c>
      <c r="D16" s="73" t="str">
        <f t="shared" si="2"/>
        <v>2025-11</v>
      </c>
      <c r="E16" s="74">
        <f t="shared" si="3"/>
        <v>5450</v>
      </c>
      <c r="F16" s="37">
        <v>218.0</v>
      </c>
      <c r="G16" s="36">
        <v>1.0</v>
      </c>
      <c r="H16" s="74"/>
      <c r="I16" s="74">
        <f t="shared" si="4"/>
        <v>4.02</v>
      </c>
      <c r="J16" s="48" t="s">
        <v>109</v>
      </c>
    </row>
    <row r="17">
      <c r="A17" s="76" t="s">
        <v>5</v>
      </c>
      <c r="B17" s="71" t="s">
        <v>115</v>
      </c>
      <c r="C17" s="71">
        <f t="shared" si="1"/>
        <v>45908</v>
      </c>
      <c r="D17" s="73" t="str">
        <f t="shared" si="2"/>
        <v>2025-09</v>
      </c>
      <c r="E17" s="74">
        <f t="shared" si="3"/>
        <v>4050</v>
      </c>
      <c r="F17" s="37">
        <v>162.0</v>
      </c>
      <c r="G17" s="36">
        <v>0.0</v>
      </c>
      <c r="H17" s="74"/>
      <c r="I17" s="74">
        <f t="shared" si="4"/>
        <v>4</v>
      </c>
      <c r="J17" s="48" t="s">
        <v>114</v>
      </c>
    </row>
    <row r="18">
      <c r="A18" s="76" t="s">
        <v>5</v>
      </c>
      <c r="B18" s="71" t="s">
        <v>120</v>
      </c>
      <c r="C18" s="71">
        <f t="shared" si="1"/>
        <v>45988</v>
      </c>
      <c r="D18" s="73" t="str">
        <f t="shared" si="2"/>
        <v>2025-11</v>
      </c>
      <c r="E18" s="74">
        <f t="shared" si="3"/>
        <v>2700</v>
      </c>
      <c r="F18" s="37">
        <v>108.0</v>
      </c>
      <c r="G18" s="36">
        <v>0.0</v>
      </c>
      <c r="H18" s="74"/>
      <c r="I18" s="74">
        <f t="shared" si="4"/>
        <v>4</v>
      </c>
      <c r="J18" s="48" t="s">
        <v>119</v>
      </c>
    </row>
    <row r="19">
      <c r="A19" s="76" t="s">
        <v>5</v>
      </c>
      <c r="B19" s="71" t="s">
        <v>124</v>
      </c>
      <c r="C19" s="71">
        <f t="shared" si="1"/>
        <v>46059</v>
      </c>
      <c r="D19" s="73" t="str">
        <f t="shared" si="2"/>
        <v>2026-02</v>
      </c>
      <c r="E19" s="74">
        <f t="shared" si="3"/>
        <v>4175</v>
      </c>
      <c r="F19" s="37">
        <v>167.0</v>
      </c>
      <c r="G19" s="36">
        <v>1.0</v>
      </c>
      <c r="H19" s="74"/>
      <c r="I19" s="74">
        <f t="shared" si="4"/>
        <v>4.02</v>
      </c>
      <c r="J19" s="48" t="s">
        <v>123</v>
      </c>
    </row>
    <row r="20">
      <c r="A20" s="76" t="s">
        <v>5</v>
      </c>
      <c r="B20" s="71" t="s">
        <v>128</v>
      </c>
      <c r="C20" s="71">
        <f t="shared" si="1"/>
        <v>46097</v>
      </c>
      <c r="D20" s="73" t="str">
        <f t="shared" si="2"/>
        <v>2026-03</v>
      </c>
      <c r="E20" s="74">
        <f t="shared" si="3"/>
        <v>1550</v>
      </c>
      <c r="F20" s="37">
        <v>62.0</v>
      </c>
      <c r="G20" s="36">
        <v>0.0</v>
      </c>
      <c r="H20" s="74"/>
      <c r="I20" s="74">
        <f t="shared" si="4"/>
        <v>4</v>
      </c>
      <c r="J20" s="48" t="s">
        <v>127</v>
      </c>
    </row>
    <row r="21">
      <c r="A21" s="76" t="s">
        <v>5</v>
      </c>
      <c r="B21" s="71" t="s">
        <v>132</v>
      </c>
      <c r="C21" s="71">
        <f t="shared" si="1"/>
        <v>45853</v>
      </c>
      <c r="D21" s="73" t="str">
        <f t="shared" si="2"/>
        <v>2025-07</v>
      </c>
      <c r="E21" s="74">
        <f t="shared" si="3"/>
        <v>1975</v>
      </c>
      <c r="F21" s="37">
        <v>79.0</v>
      </c>
      <c r="G21" s="36">
        <v>0.0</v>
      </c>
      <c r="H21" s="74"/>
      <c r="I21" s="74">
        <f t="shared" si="4"/>
        <v>4</v>
      </c>
      <c r="J21" s="48" t="s">
        <v>131</v>
      </c>
    </row>
    <row r="22">
      <c r="A22" s="76" t="s">
        <v>5</v>
      </c>
      <c r="B22" s="71" t="s">
        <v>137</v>
      </c>
      <c r="C22" s="71">
        <f t="shared" si="1"/>
        <v>45870</v>
      </c>
      <c r="D22" s="73" t="str">
        <f t="shared" si="2"/>
        <v>2025-08</v>
      </c>
      <c r="E22" s="74">
        <f t="shared" si="3"/>
        <v>1525</v>
      </c>
      <c r="F22" s="37">
        <v>61.0</v>
      </c>
      <c r="G22" s="36">
        <v>0.0</v>
      </c>
      <c r="H22" s="74"/>
      <c r="I22" s="74">
        <f t="shared" si="4"/>
        <v>4</v>
      </c>
      <c r="J22" s="48" t="s">
        <v>136</v>
      </c>
    </row>
    <row r="23">
      <c r="A23" s="76" t="s">
        <v>5</v>
      </c>
      <c r="B23" s="71" t="s">
        <v>142</v>
      </c>
      <c r="C23" s="71">
        <f t="shared" si="1"/>
        <v>45869</v>
      </c>
      <c r="D23" s="73" t="str">
        <f t="shared" si="2"/>
        <v>2025-07</v>
      </c>
      <c r="E23" s="74">
        <f t="shared" si="3"/>
        <v>2300</v>
      </c>
      <c r="F23" s="37">
        <v>92.0</v>
      </c>
      <c r="G23" s="36">
        <v>1.0</v>
      </c>
      <c r="H23" s="74"/>
      <c r="I23" s="74">
        <f t="shared" si="4"/>
        <v>4.04</v>
      </c>
      <c r="J23" s="48" t="s">
        <v>141</v>
      </c>
    </row>
    <row r="24">
      <c r="A24" s="76" t="s">
        <v>5</v>
      </c>
      <c r="B24" s="71" t="s">
        <v>147</v>
      </c>
      <c r="C24" s="71">
        <f t="shared" si="1"/>
        <v>45863</v>
      </c>
      <c r="D24" s="73" t="str">
        <f t="shared" si="2"/>
        <v>2025-07</v>
      </c>
      <c r="E24" s="74">
        <f t="shared" si="3"/>
        <v>3450</v>
      </c>
      <c r="F24" s="37">
        <v>138.0</v>
      </c>
      <c r="G24" s="36">
        <v>0.0</v>
      </c>
      <c r="H24" s="74"/>
      <c r="I24" s="74">
        <f t="shared" si="4"/>
        <v>4</v>
      </c>
      <c r="J24" s="48" t="s">
        <v>146</v>
      </c>
    </row>
    <row r="25">
      <c r="A25" s="76" t="s">
        <v>5</v>
      </c>
      <c r="B25" s="71" t="s">
        <v>152</v>
      </c>
      <c r="C25" s="71">
        <f t="shared" si="1"/>
        <v>45855</v>
      </c>
      <c r="D25" s="73" t="str">
        <f t="shared" si="2"/>
        <v>2025-07</v>
      </c>
      <c r="E25" s="74">
        <f t="shared" si="3"/>
        <v>2350</v>
      </c>
      <c r="F25" s="37">
        <v>94.0</v>
      </c>
      <c r="G25" s="36">
        <v>2.0</v>
      </c>
      <c r="H25" s="74"/>
      <c r="I25" s="74">
        <f t="shared" si="4"/>
        <v>4.09</v>
      </c>
      <c r="J25" s="48" t="s">
        <v>151</v>
      </c>
    </row>
    <row r="26">
      <c r="A26" s="76" t="s">
        <v>5</v>
      </c>
      <c r="B26" s="71" t="s">
        <v>157</v>
      </c>
      <c r="C26" s="71">
        <f t="shared" si="1"/>
        <v>45862</v>
      </c>
      <c r="D26" s="73" t="str">
        <f t="shared" si="2"/>
        <v>2025-07</v>
      </c>
      <c r="E26" s="74">
        <f t="shared" si="3"/>
        <v>3650</v>
      </c>
      <c r="F26" s="37">
        <v>146.0</v>
      </c>
      <c r="G26" s="36">
        <v>1.0</v>
      </c>
      <c r="H26" s="74"/>
      <c r="I26" s="74">
        <f t="shared" si="4"/>
        <v>4.03</v>
      </c>
      <c r="J26" s="48" t="s">
        <v>156</v>
      </c>
    </row>
    <row r="27">
      <c r="A27" s="76" t="s">
        <v>5</v>
      </c>
      <c r="B27" s="71" t="s">
        <v>162</v>
      </c>
      <c r="C27" s="71">
        <f t="shared" si="1"/>
        <v>45869</v>
      </c>
      <c r="D27" s="73" t="str">
        <f t="shared" si="2"/>
        <v>2025-07</v>
      </c>
      <c r="E27" s="74">
        <f t="shared" si="3"/>
        <v>3225</v>
      </c>
      <c r="F27" s="37">
        <v>129.0</v>
      </c>
      <c r="G27" s="36">
        <v>0.0</v>
      </c>
      <c r="H27" s="74"/>
      <c r="I27" s="74">
        <f t="shared" si="4"/>
        <v>4</v>
      </c>
      <c r="J27" s="48" t="s">
        <v>161</v>
      </c>
    </row>
    <row r="28">
      <c r="A28" s="76" t="s">
        <v>5</v>
      </c>
      <c r="B28" s="71" t="s">
        <v>167</v>
      </c>
      <c r="C28" s="71">
        <f t="shared" si="1"/>
        <v>45764</v>
      </c>
      <c r="D28" s="73" t="str">
        <f t="shared" si="2"/>
        <v>2025-04</v>
      </c>
      <c r="E28" s="74">
        <f t="shared" si="3"/>
        <v>3925</v>
      </c>
      <c r="F28" s="37">
        <v>157.0</v>
      </c>
      <c r="G28" s="36">
        <v>1.0</v>
      </c>
      <c r="H28" s="74"/>
      <c r="I28" s="74">
        <f t="shared" si="4"/>
        <v>4.03</v>
      </c>
      <c r="J28" s="48" t="s">
        <v>166</v>
      </c>
    </row>
    <row r="29">
      <c r="A29" s="76" t="s">
        <v>5</v>
      </c>
      <c r="B29" s="71" t="s">
        <v>172</v>
      </c>
      <c r="C29" s="71">
        <f t="shared" si="1"/>
        <v>45862</v>
      </c>
      <c r="D29" s="73" t="str">
        <f t="shared" si="2"/>
        <v>2025-07</v>
      </c>
      <c r="E29" s="74">
        <f t="shared" si="3"/>
        <v>6800</v>
      </c>
      <c r="F29" s="37">
        <v>272.0</v>
      </c>
      <c r="G29" s="36">
        <v>1.0</v>
      </c>
      <c r="H29" s="74"/>
      <c r="I29" s="74">
        <f t="shared" si="4"/>
        <v>4.01</v>
      </c>
      <c r="J29" s="48" t="s">
        <v>171</v>
      </c>
    </row>
    <row r="30">
      <c r="A30" s="76" t="s">
        <v>5</v>
      </c>
      <c r="B30" s="71" t="s">
        <v>176</v>
      </c>
      <c r="C30" s="71">
        <f t="shared" si="1"/>
        <v>45965</v>
      </c>
      <c r="D30" s="73" t="str">
        <f t="shared" si="2"/>
        <v>2025-11</v>
      </c>
      <c r="E30" s="74">
        <f t="shared" si="3"/>
        <v>2450</v>
      </c>
      <c r="F30" s="37">
        <v>98.0</v>
      </c>
      <c r="G30" s="36">
        <v>0.0</v>
      </c>
      <c r="H30" s="74"/>
      <c r="I30" s="74">
        <f t="shared" si="4"/>
        <v>4</v>
      </c>
      <c r="J30" s="48" t="s">
        <v>175</v>
      </c>
    </row>
    <row r="31">
      <c r="A31" s="76" t="s">
        <v>5</v>
      </c>
      <c r="B31" s="71" t="s">
        <v>181</v>
      </c>
      <c r="C31" s="71">
        <f t="shared" si="1"/>
        <v>45890</v>
      </c>
      <c r="D31" s="73" t="str">
        <f t="shared" si="2"/>
        <v>2025-08</v>
      </c>
      <c r="E31" s="74">
        <f t="shared" si="3"/>
        <v>3775</v>
      </c>
      <c r="F31" s="37">
        <v>151.0</v>
      </c>
      <c r="G31" s="36">
        <v>0.0</v>
      </c>
      <c r="H31" s="74"/>
      <c r="I31" s="74">
        <f t="shared" si="4"/>
        <v>4</v>
      </c>
      <c r="J31" s="48" t="s">
        <v>180</v>
      </c>
    </row>
    <row r="32">
      <c r="A32" s="76" t="s">
        <v>5</v>
      </c>
      <c r="B32" s="71" t="s">
        <v>185</v>
      </c>
      <c r="C32" s="71">
        <f t="shared" si="1"/>
        <v>45926</v>
      </c>
      <c r="D32" s="73" t="str">
        <f t="shared" si="2"/>
        <v>2025-09</v>
      </c>
      <c r="E32" s="74">
        <f t="shared" si="3"/>
        <v>5300</v>
      </c>
      <c r="F32" s="37">
        <v>212.0</v>
      </c>
      <c r="G32" s="36">
        <v>1.0</v>
      </c>
      <c r="H32" s="74"/>
      <c r="I32" s="74">
        <f t="shared" si="4"/>
        <v>4.02</v>
      </c>
      <c r="J32" s="48" t="s">
        <v>184</v>
      </c>
    </row>
    <row r="33">
      <c r="A33" s="76" t="s">
        <v>5</v>
      </c>
      <c r="B33" s="71" t="s">
        <v>190</v>
      </c>
      <c r="C33" s="71">
        <f t="shared" si="1"/>
        <v>45876</v>
      </c>
      <c r="D33" s="73" t="str">
        <f t="shared" si="2"/>
        <v>2025-08</v>
      </c>
      <c r="E33" s="74">
        <f t="shared" si="3"/>
        <v>2925</v>
      </c>
      <c r="F33" s="37">
        <v>117.0</v>
      </c>
      <c r="G33" s="36">
        <v>0.0</v>
      </c>
      <c r="H33" s="74"/>
      <c r="I33" s="74">
        <f t="shared" si="4"/>
        <v>4</v>
      </c>
      <c r="J33" s="48" t="s">
        <v>189</v>
      </c>
    </row>
    <row r="34">
      <c r="A34" s="76" t="s">
        <v>5</v>
      </c>
      <c r="B34" s="71" t="s">
        <v>195</v>
      </c>
      <c r="C34" s="71">
        <f t="shared" si="1"/>
        <v>46045</v>
      </c>
      <c r="D34" s="73" t="str">
        <f t="shared" si="2"/>
        <v>2026-01</v>
      </c>
      <c r="E34" s="74">
        <f t="shared" si="3"/>
        <v>1250</v>
      </c>
      <c r="F34" s="37">
        <v>50.0</v>
      </c>
      <c r="G34" s="36">
        <v>0.0</v>
      </c>
      <c r="H34" s="74"/>
      <c r="I34" s="74">
        <f t="shared" si="4"/>
        <v>4</v>
      </c>
      <c r="J34" s="48" t="s">
        <v>194</v>
      </c>
    </row>
    <row r="35">
      <c r="A35" s="76" t="s">
        <v>5</v>
      </c>
      <c r="B35" s="71" t="s">
        <v>199</v>
      </c>
      <c r="C35" s="71">
        <f t="shared" si="1"/>
        <v>45870</v>
      </c>
      <c r="D35" s="73" t="str">
        <f t="shared" si="2"/>
        <v>2025-08</v>
      </c>
      <c r="E35" s="74">
        <f t="shared" si="3"/>
        <v>1425</v>
      </c>
      <c r="F35" s="37">
        <v>57.0</v>
      </c>
      <c r="G35" s="36">
        <v>0.0</v>
      </c>
      <c r="H35" s="74"/>
      <c r="I35" s="74">
        <f t="shared" si="4"/>
        <v>4</v>
      </c>
      <c r="J35" s="48" t="s">
        <v>198</v>
      </c>
    </row>
    <row r="36">
      <c r="A36" s="76" t="s">
        <v>5</v>
      </c>
      <c r="B36" s="71" t="s">
        <v>203</v>
      </c>
      <c r="C36" s="71">
        <f t="shared" si="1"/>
        <v>45869</v>
      </c>
      <c r="D36" s="73" t="str">
        <f t="shared" si="2"/>
        <v>2025-07</v>
      </c>
      <c r="E36" s="74">
        <f t="shared" si="3"/>
        <v>2675</v>
      </c>
      <c r="F36" s="37">
        <v>107.0</v>
      </c>
      <c r="G36" s="36">
        <v>1.0</v>
      </c>
      <c r="H36" s="74"/>
      <c r="I36" s="74">
        <f t="shared" si="4"/>
        <v>4.04</v>
      </c>
      <c r="J36" s="48" t="s">
        <v>202</v>
      </c>
    </row>
    <row r="37">
      <c r="A37" s="76" t="s">
        <v>5</v>
      </c>
      <c r="B37" s="71" t="s">
        <v>208</v>
      </c>
      <c r="C37" s="71">
        <f t="shared" si="1"/>
        <v>45748</v>
      </c>
      <c r="D37" s="73" t="str">
        <f t="shared" si="2"/>
        <v>2025-04</v>
      </c>
      <c r="E37" s="74">
        <f t="shared" si="3"/>
        <v>2575</v>
      </c>
      <c r="F37" s="37">
        <v>103.0</v>
      </c>
      <c r="G37" s="36">
        <v>0.0</v>
      </c>
      <c r="H37" s="74"/>
      <c r="I37" s="74">
        <f t="shared" si="4"/>
        <v>4</v>
      </c>
      <c r="J37" s="48" t="s">
        <v>207</v>
      </c>
    </row>
    <row r="38">
      <c r="A38" s="76" t="s">
        <v>5</v>
      </c>
      <c r="B38" s="71" t="s">
        <v>213</v>
      </c>
      <c r="C38" s="71">
        <f t="shared" si="1"/>
        <v>45749</v>
      </c>
      <c r="D38" s="73" t="str">
        <f t="shared" si="2"/>
        <v>2025-04</v>
      </c>
      <c r="E38" s="74">
        <f t="shared" si="3"/>
        <v>1700</v>
      </c>
      <c r="F38" s="37">
        <v>68.0</v>
      </c>
      <c r="G38" s="36">
        <v>0.0</v>
      </c>
      <c r="H38" s="74"/>
      <c r="I38" s="74">
        <f t="shared" si="4"/>
        <v>4</v>
      </c>
      <c r="J38" s="48" t="s">
        <v>212</v>
      </c>
    </row>
    <row r="39">
      <c r="A39" s="76" t="s">
        <v>5</v>
      </c>
      <c r="B39" s="71" t="s">
        <v>218</v>
      </c>
      <c r="C39" s="71">
        <f t="shared" si="1"/>
        <v>45762</v>
      </c>
      <c r="D39" s="73" t="str">
        <f t="shared" si="2"/>
        <v>2025-04</v>
      </c>
      <c r="E39" s="74">
        <f t="shared" si="3"/>
        <v>3500</v>
      </c>
      <c r="F39" s="37">
        <v>140.0</v>
      </c>
      <c r="G39" s="36">
        <v>0.0</v>
      </c>
      <c r="H39" s="74"/>
      <c r="I39" s="74">
        <f t="shared" si="4"/>
        <v>4</v>
      </c>
      <c r="J39" s="48" t="s">
        <v>217</v>
      </c>
    </row>
    <row r="40">
      <c r="A40" s="76" t="s">
        <v>5</v>
      </c>
      <c r="B40" s="71" t="s">
        <v>222</v>
      </c>
      <c r="C40" s="71">
        <f t="shared" si="1"/>
        <v>45749</v>
      </c>
      <c r="D40" s="73" t="str">
        <f t="shared" si="2"/>
        <v>2025-04</v>
      </c>
      <c r="E40" s="74">
        <f t="shared" si="3"/>
        <v>2000</v>
      </c>
      <c r="F40" s="37">
        <v>80.0</v>
      </c>
      <c r="G40" s="36">
        <v>0.0</v>
      </c>
      <c r="H40" s="74"/>
      <c r="I40" s="74">
        <f t="shared" si="4"/>
        <v>4</v>
      </c>
      <c r="J40" s="48" t="s">
        <v>221</v>
      </c>
    </row>
    <row r="41">
      <c r="A41" s="76" t="s">
        <v>5</v>
      </c>
      <c r="B41" s="71" t="s">
        <v>226</v>
      </c>
      <c r="C41" s="71">
        <f t="shared" si="1"/>
        <v>45751</v>
      </c>
      <c r="D41" s="73" t="str">
        <f t="shared" si="2"/>
        <v>2025-04</v>
      </c>
      <c r="E41" s="74">
        <f t="shared" si="3"/>
        <v>1675</v>
      </c>
      <c r="F41" s="37">
        <v>67.0</v>
      </c>
      <c r="G41" s="36">
        <v>1.0</v>
      </c>
      <c r="H41" s="74"/>
      <c r="I41" s="74">
        <f t="shared" si="4"/>
        <v>4.06</v>
      </c>
      <c r="J41" s="48" t="s">
        <v>225</v>
      </c>
    </row>
    <row r="42">
      <c r="A42" s="76" t="s">
        <v>5</v>
      </c>
      <c r="B42" s="71" t="s">
        <v>230</v>
      </c>
      <c r="C42" s="71">
        <f t="shared" si="1"/>
        <v>45755</v>
      </c>
      <c r="D42" s="73" t="str">
        <f t="shared" si="2"/>
        <v>2025-04</v>
      </c>
      <c r="E42" s="74">
        <f t="shared" si="3"/>
        <v>5550</v>
      </c>
      <c r="F42" s="37">
        <v>222.0</v>
      </c>
      <c r="G42" s="36">
        <v>2.0</v>
      </c>
      <c r="H42" s="74"/>
      <c r="I42" s="74">
        <f t="shared" si="4"/>
        <v>4.04</v>
      </c>
      <c r="J42" s="48" t="s">
        <v>229</v>
      </c>
    </row>
    <row r="43">
      <c r="A43" s="76" t="s">
        <v>5</v>
      </c>
      <c r="B43" s="71" t="s">
        <v>235</v>
      </c>
      <c r="C43" s="71">
        <f t="shared" si="1"/>
        <v>45748</v>
      </c>
      <c r="D43" s="73" t="str">
        <f t="shared" si="2"/>
        <v>2025-04</v>
      </c>
      <c r="E43" s="74">
        <f t="shared" si="3"/>
        <v>2950</v>
      </c>
      <c r="F43" s="37">
        <v>118.0</v>
      </c>
      <c r="G43" s="36">
        <v>1.0</v>
      </c>
      <c r="H43" s="74"/>
      <c r="I43" s="74">
        <f t="shared" si="4"/>
        <v>4.03</v>
      </c>
      <c r="J43" s="48" t="s">
        <v>234</v>
      </c>
    </row>
    <row r="44">
      <c r="A44" s="76" t="s">
        <v>5</v>
      </c>
      <c r="B44" s="71" t="s">
        <v>239</v>
      </c>
      <c r="C44" s="71">
        <f t="shared" si="1"/>
        <v>45757</v>
      </c>
      <c r="D44" s="73" t="str">
        <f t="shared" si="2"/>
        <v>2025-04</v>
      </c>
      <c r="E44" s="74">
        <f t="shared" si="3"/>
        <v>4800</v>
      </c>
      <c r="F44" s="37">
        <v>192.0</v>
      </c>
      <c r="G44" s="36">
        <v>2.0</v>
      </c>
      <c r="H44" s="74"/>
      <c r="I44" s="74">
        <f t="shared" si="4"/>
        <v>4.04</v>
      </c>
      <c r="J44" s="48" t="s">
        <v>238</v>
      </c>
    </row>
    <row r="45">
      <c r="A45" s="76" t="s">
        <v>5</v>
      </c>
      <c r="B45" s="71" t="s">
        <v>244</v>
      </c>
      <c r="C45" s="71">
        <f t="shared" si="1"/>
        <v>45751</v>
      </c>
      <c r="D45" s="73" t="str">
        <f t="shared" si="2"/>
        <v>2025-04</v>
      </c>
      <c r="E45" s="74">
        <f t="shared" si="3"/>
        <v>1100</v>
      </c>
      <c r="F45" s="37">
        <v>44.0</v>
      </c>
      <c r="G45" s="36">
        <v>0.0</v>
      </c>
      <c r="H45" s="74"/>
      <c r="I45" s="74">
        <f t="shared" si="4"/>
        <v>4</v>
      </c>
      <c r="J45" s="48" t="s">
        <v>243</v>
      </c>
    </row>
    <row r="46">
      <c r="A46" s="76" t="s">
        <v>5</v>
      </c>
      <c r="B46" s="71" t="s">
        <v>248</v>
      </c>
      <c r="C46" s="71">
        <f t="shared" si="1"/>
        <v>45750</v>
      </c>
      <c r="D46" s="73" t="str">
        <f t="shared" si="2"/>
        <v>2025-04</v>
      </c>
      <c r="E46" s="74">
        <f t="shared" si="3"/>
        <v>1650</v>
      </c>
      <c r="F46" s="37">
        <v>66.0</v>
      </c>
      <c r="G46" s="36">
        <v>0.0</v>
      </c>
      <c r="H46" s="74"/>
      <c r="I46" s="74">
        <f t="shared" si="4"/>
        <v>4</v>
      </c>
      <c r="J46" s="48" t="s">
        <v>247</v>
      </c>
    </row>
    <row r="47">
      <c r="A47" s="76" t="s">
        <v>5</v>
      </c>
      <c r="B47" s="71" t="s">
        <v>252</v>
      </c>
      <c r="C47" s="71">
        <f t="shared" si="1"/>
        <v>45748</v>
      </c>
      <c r="D47" s="73" t="str">
        <f t="shared" si="2"/>
        <v>2025-04</v>
      </c>
      <c r="E47" s="74">
        <f t="shared" si="3"/>
        <v>2050</v>
      </c>
      <c r="F47" s="37">
        <v>82.0</v>
      </c>
      <c r="G47" s="36">
        <v>1.0</v>
      </c>
      <c r="H47" s="74"/>
      <c r="I47" s="74">
        <f t="shared" si="4"/>
        <v>4.05</v>
      </c>
      <c r="J47" s="48" t="s">
        <v>251</v>
      </c>
    </row>
    <row r="48">
      <c r="A48" s="76" t="s">
        <v>5</v>
      </c>
      <c r="B48" s="71" t="s">
        <v>256</v>
      </c>
      <c r="C48" s="71">
        <f t="shared" si="1"/>
        <v>45876</v>
      </c>
      <c r="D48" s="73" t="str">
        <f t="shared" si="2"/>
        <v>2025-08</v>
      </c>
      <c r="E48" s="74">
        <f t="shared" si="3"/>
        <v>1575</v>
      </c>
      <c r="F48" s="37">
        <v>63.0</v>
      </c>
      <c r="G48" s="36">
        <v>0.0</v>
      </c>
      <c r="H48" s="74"/>
      <c r="I48" s="74">
        <f t="shared" si="4"/>
        <v>4</v>
      </c>
      <c r="J48" s="48" t="s">
        <v>255</v>
      </c>
    </row>
    <row r="49">
      <c r="A49" s="76" t="s">
        <v>5</v>
      </c>
      <c r="B49" s="71" t="s">
        <v>260</v>
      </c>
      <c r="C49" s="71">
        <f t="shared" si="1"/>
        <v>45733</v>
      </c>
      <c r="D49" s="73" t="str">
        <f t="shared" si="2"/>
        <v>2025-03</v>
      </c>
      <c r="E49" s="74">
        <f t="shared" si="3"/>
        <v>2600</v>
      </c>
      <c r="F49" s="37">
        <v>104.0</v>
      </c>
      <c r="G49" s="36">
        <v>0.0</v>
      </c>
      <c r="H49" s="74"/>
      <c r="I49" s="74">
        <f t="shared" si="4"/>
        <v>4</v>
      </c>
      <c r="J49" s="48" t="s">
        <v>259</v>
      </c>
    </row>
    <row r="50">
      <c r="A50" s="76" t="s">
        <v>5</v>
      </c>
      <c r="B50" s="71" t="s">
        <v>265</v>
      </c>
      <c r="C50" s="71">
        <f t="shared" si="1"/>
        <v>45734</v>
      </c>
      <c r="D50" s="73" t="str">
        <f t="shared" si="2"/>
        <v>2025-03</v>
      </c>
      <c r="E50" s="74">
        <f t="shared" si="3"/>
        <v>1500</v>
      </c>
      <c r="F50" s="37">
        <v>60.0</v>
      </c>
      <c r="G50" s="36">
        <v>0.0</v>
      </c>
      <c r="H50" s="74"/>
      <c r="I50" s="74">
        <f t="shared" si="4"/>
        <v>4</v>
      </c>
      <c r="J50" s="48" t="s">
        <v>264</v>
      </c>
    </row>
    <row r="51">
      <c r="A51" s="76" t="s">
        <v>5</v>
      </c>
      <c r="B51" s="71" t="s">
        <v>270</v>
      </c>
      <c r="C51" s="71">
        <f t="shared" si="1"/>
        <v>45734</v>
      </c>
      <c r="D51" s="73" t="str">
        <f t="shared" si="2"/>
        <v>2025-03</v>
      </c>
      <c r="E51" s="74">
        <f t="shared" si="3"/>
        <v>1925</v>
      </c>
      <c r="F51" s="37">
        <v>77.0</v>
      </c>
      <c r="G51" s="36">
        <v>0.0</v>
      </c>
      <c r="H51" s="74"/>
      <c r="I51" s="74">
        <f t="shared" si="4"/>
        <v>4</v>
      </c>
      <c r="J51" s="48" t="s">
        <v>269</v>
      </c>
    </row>
    <row r="52">
      <c r="A52" s="76" t="s">
        <v>5</v>
      </c>
      <c r="B52" s="71" t="s">
        <v>275</v>
      </c>
      <c r="C52" s="71">
        <f t="shared" si="1"/>
        <v>45745</v>
      </c>
      <c r="D52" s="73" t="str">
        <f t="shared" si="2"/>
        <v>2025-03</v>
      </c>
      <c r="E52" s="74">
        <f t="shared" si="3"/>
        <v>1650</v>
      </c>
      <c r="F52" s="37">
        <v>66.0</v>
      </c>
      <c r="G52" s="36">
        <v>0.0</v>
      </c>
      <c r="H52" s="74"/>
      <c r="I52" s="74">
        <f t="shared" si="4"/>
        <v>4</v>
      </c>
      <c r="J52" s="48" t="s">
        <v>274</v>
      </c>
    </row>
    <row r="53">
      <c r="A53" s="76" t="s">
        <v>5</v>
      </c>
      <c r="B53" s="71" t="s">
        <v>279</v>
      </c>
      <c r="C53" s="71">
        <f t="shared" si="1"/>
        <v>45734</v>
      </c>
      <c r="D53" s="73" t="str">
        <f t="shared" si="2"/>
        <v>2025-03</v>
      </c>
      <c r="E53" s="74">
        <f t="shared" si="3"/>
        <v>1600</v>
      </c>
      <c r="F53" s="37">
        <v>64.0</v>
      </c>
      <c r="G53" s="36">
        <v>0.0</v>
      </c>
      <c r="H53" s="74"/>
      <c r="I53" s="74">
        <f t="shared" si="4"/>
        <v>4</v>
      </c>
      <c r="J53" s="48" t="s">
        <v>278</v>
      </c>
    </row>
    <row r="54">
      <c r="A54" s="76" t="s">
        <v>5</v>
      </c>
      <c r="B54" s="71" t="s">
        <v>284</v>
      </c>
      <c r="C54" s="71">
        <f t="shared" si="1"/>
        <v>45736</v>
      </c>
      <c r="D54" s="73" t="str">
        <f t="shared" si="2"/>
        <v>2025-03</v>
      </c>
      <c r="E54" s="74">
        <f t="shared" si="3"/>
        <v>2950</v>
      </c>
      <c r="F54" s="37">
        <v>118.0</v>
      </c>
      <c r="G54" s="36">
        <v>2.0</v>
      </c>
      <c r="H54" s="74"/>
      <c r="I54" s="74">
        <f t="shared" si="4"/>
        <v>4.07</v>
      </c>
      <c r="J54" s="48" t="s">
        <v>283</v>
      </c>
    </row>
    <row r="55">
      <c r="A55" s="76" t="s">
        <v>5</v>
      </c>
      <c r="B55" s="71" t="s">
        <v>289</v>
      </c>
      <c r="C55" s="71">
        <f t="shared" si="1"/>
        <v>45734</v>
      </c>
      <c r="D55" s="73" t="str">
        <f t="shared" si="2"/>
        <v>2025-03</v>
      </c>
      <c r="E55" s="74">
        <f t="shared" si="3"/>
        <v>2550</v>
      </c>
      <c r="F55" s="37">
        <v>102.0</v>
      </c>
      <c r="G55" s="36">
        <v>0.0</v>
      </c>
      <c r="H55" s="74"/>
      <c r="I55" s="74">
        <f t="shared" si="4"/>
        <v>4</v>
      </c>
      <c r="J55" s="48" t="s">
        <v>288</v>
      </c>
    </row>
    <row r="56">
      <c r="A56" s="76" t="s">
        <v>5</v>
      </c>
      <c r="B56" s="71" t="s">
        <v>294</v>
      </c>
      <c r="C56" s="71">
        <f t="shared" si="1"/>
        <v>45750</v>
      </c>
      <c r="D56" s="73" t="str">
        <f t="shared" si="2"/>
        <v>2025-04</v>
      </c>
      <c r="E56" s="74">
        <f t="shared" si="3"/>
        <v>2175</v>
      </c>
      <c r="F56" s="37">
        <v>87.0</v>
      </c>
      <c r="G56" s="36">
        <v>0.0</v>
      </c>
      <c r="H56" s="74"/>
      <c r="I56" s="74">
        <f t="shared" si="4"/>
        <v>4</v>
      </c>
      <c r="J56" s="48" t="s">
        <v>293</v>
      </c>
    </row>
    <row r="57">
      <c r="A57" s="76" t="s">
        <v>5</v>
      </c>
      <c r="B57" s="71" t="s">
        <v>298</v>
      </c>
      <c r="C57" s="71">
        <f t="shared" si="1"/>
        <v>45736</v>
      </c>
      <c r="D57" s="73" t="str">
        <f t="shared" si="2"/>
        <v>2025-03</v>
      </c>
      <c r="E57" s="74">
        <f t="shared" si="3"/>
        <v>1750</v>
      </c>
      <c r="F57" s="37">
        <v>70.0</v>
      </c>
      <c r="G57" s="36">
        <v>0.0</v>
      </c>
      <c r="H57" s="74"/>
      <c r="I57" s="74">
        <f t="shared" si="4"/>
        <v>4</v>
      </c>
      <c r="J57" s="48" t="s">
        <v>297</v>
      </c>
    </row>
    <row r="58">
      <c r="A58" s="76" t="s">
        <v>5</v>
      </c>
      <c r="B58" s="71" t="s">
        <v>302</v>
      </c>
      <c r="C58" s="71">
        <f t="shared" si="1"/>
        <v>45745</v>
      </c>
      <c r="D58" s="73" t="str">
        <f t="shared" si="2"/>
        <v>2025-03</v>
      </c>
      <c r="E58" s="74">
        <f t="shared" si="3"/>
        <v>7300</v>
      </c>
      <c r="F58" s="37">
        <v>292.0</v>
      </c>
      <c r="G58" s="36">
        <v>0.0</v>
      </c>
      <c r="H58" s="74"/>
      <c r="I58" s="74">
        <f t="shared" si="4"/>
        <v>4</v>
      </c>
      <c r="J58" s="48" t="s">
        <v>301</v>
      </c>
    </row>
    <row r="59">
      <c r="A59" s="76" t="s">
        <v>5</v>
      </c>
      <c r="B59" s="71" t="s">
        <v>306</v>
      </c>
      <c r="C59" s="71">
        <f t="shared" si="1"/>
        <v>45727</v>
      </c>
      <c r="D59" s="73" t="str">
        <f t="shared" si="2"/>
        <v>2025-03</v>
      </c>
      <c r="E59" s="74">
        <f t="shared" si="3"/>
        <v>3375</v>
      </c>
      <c r="F59" s="37">
        <v>135.0</v>
      </c>
      <c r="G59" s="36">
        <v>0.0</v>
      </c>
      <c r="H59" s="74"/>
      <c r="I59" s="74">
        <f t="shared" si="4"/>
        <v>4</v>
      </c>
      <c r="J59" s="48" t="s">
        <v>305</v>
      </c>
    </row>
    <row r="60">
      <c r="A60" s="76" t="s">
        <v>5</v>
      </c>
      <c r="B60" s="71" t="s">
        <v>311</v>
      </c>
      <c r="C60" s="71">
        <f t="shared" si="1"/>
        <v>45727</v>
      </c>
      <c r="D60" s="73" t="str">
        <f t="shared" si="2"/>
        <v>2025-03</v>
      </c>
      <c r="E60" s="74">
        <f t="shared" si="3"/>
        <v>14725</v>
      </c>
      <c r="F60" s="37">
        <v>589.0</v>
      </c>
      <c r="G60" s="36">
        <v>3.0</v>
      </c>
      <c r="H60" s="74"/>
      <c r="I60" s="74">
        <f t="shared" si="4"/>
        <v>4.02</v>
      </c>
      <c r="J60" s="48" t="s">
        <v>310</v>
      </c>
    </row>
    <row r="61">
      <c r="A61" s="76" t="s">
        <v>5</v>
      </c>
      <c r="B61" s="71" t="s">
        <v>316</v>
      </c>
      <c r="C61" s="71">
        <f t="shared" si="1"/>
        <v>45728</v>
      </c>
      <c r="D61" s="73" t="str">
        <f t="shared" si="2"/>
        <v>2025-03</v>
      </c>
      <c r="E61" s="74">
        <f t="shared" si="3"/>
        <v>2475</v>
      </c>
      <c r="F61" s="37">
        <v>99.0</v>
      </c>
      <c r="G61" s="36">
        <v>1.0</v>
      </c>
      <c r="H61" s="74"/>
      <c r="I61" s="74">
        <f t="shared" si="4"/>
        <v>4.04</v>
      </c>
      <c r="J61" s="48" t="s">
        <v>315</v>
      </c>
    </row>
    <row r="62">
      <c r="A62" s="76" t="s">
        <v>5</v>
      </c>
      <c r="B62" s="71" t="s">
        <v>321</v>
      </c>
      <c r="C62" s="71">
        <f t="shared" si="1"/>
        <v>45733</v>
      </c>
      <c r="D62" s="73" t="str">
        <f t="shared" si="2"/>
        <v>2025-03</v>
      </c>
      <c r="E62" s="74">
        <f t="shared" si="3"/>
        <v>2775</v>
      </c>
      <c r="F62" s="37">
        <v>111.0</v>
      </c>
      <c r="G62" s="36">
        <v>0.0</v>
      </c>
      <c r="H62" s="74"/>
      <c r="I62" s="74">
        <f t="shared" si="4"/>
        <v>4</v>
      </c>
      <c r="J62" s="48" t="s">
        <v>320</v>
      </c>
    </row>
    <row r="63">
      <c r="A63" s="76" t="s">
        <v>5</v>
      </c>
      <c r="B63" s="71" t="s">
        <v>326</v>
      </c>
      <c r="C63" s="71">
        <f t="shared" si="1"/>
        <v>45729</v>
      </c>
      <c r="D63" s="73" t="str">
        <f t="shared" si="2"/>
        <v>2025-03</v>
      </c>
      <c r="E63" s="74">
        <f t="shared" si="3"/>
        <v>1825</v>
      </c>
      <c r="F63" s="37">
        <v>73.0</v>
      </c>
      <c r="G63" s="36">
        <v>0.0</v>
      </c>
      <c r="H63" s="74"/>
      <c r="I63" s="74">
        <f t="shared" si="4"/>
        <v>4</v>
      </c>
      <c r="J63" s="48" t="s">
        <v>325</v>
      </c>
    </row>
    <row r="64">
      <c r="A64" s="76" t="s">
        <v>5</v>
      </c>
      <c r="B64" s="71" t="s">
        <v>331</v>
      </c>
      <c r="C64" s="71">
        <f t="shared" si="1"/>
        <v>45728</v>
      </c>
      <c r="D64" s="73" t="str">
        <f t="shared" si="2"/>
        <v>2025-03</v>
      </c>
      <c r="E64" s="74">
        <f t="shared" si="3"/>
        <v>3725</v>
      </c>
      <c r="F64" s="37">
        <v>149.0</v>
      </c>
      <c r="G64" s="36">
        <v>0.0</v>
      </c>
      <c r="H64" s="74"/>
      <c r="I64" s="74">
        <f t="shared" si="4"/>
        <v>4</v>
      </c>
      <c r="J64" s="48" t="s">
        <v>330</v>
      </c>
    </row>
    <row r="65">
      <c r="A65" s="76" t="s">
        <v>5</v>
      </c>
      <c r="B65" s="71" t="s">
        <v>336</v>
      </c>
      <c r="C65" s="71">
        <f t="shared" si="1"/>
        <v>45723</v>
      </c>
      <c r="D65" s="73" t="str">
        <f t="shared" si="2"/>
        <v>2025-03</v>
      </c>
      <c r="E65" s="74">
        <f t="shared" si="3"/>
        <v>3575</v>
      </c>
      <c r="F65" s="37">
        <v>143.0</v>
      </c>
      <c r="G65" s="36">
        <v>2.0</v>
      </c>
      <c r="H65" s="74"/>
      <c r="I65" s="74">
        <f t="shared" si="4"/>
        <v>4.06</v>
      </c>
      <c r="J65" s="48" t="s">
        <v>335</v>
      </c>
    </row>
    <row r="66">
      <c r="A66" s="76" t="s">
        <v>5</v>
      </c>
      <c r="B66" s="71" t="s">
        <v>341</v>
      </c>
      <c r="C66" s="71">
        <f t="shared" si="1"/>
        <v>45728</v>
      </c>
      <c r="D66" s="73" t="str">
        <f t="shared" si="2"/>
        <v>2025-03</v>
      </c>
      <c r="E66" s="74">
        <f t="shared" si="3"/>
        <v>2925</v>
      </c>
      <c r="F66" s="37">
        <v>117.0</v>
      </c>
      <c r="G66" s="36">
        <v>1.0</v>
      </c>
      <c r="H66" s="74"/>
      <c r="I66" s="74">
        <f t="shared" si="4"/>
        <v>4.03</v>
      </c>
      <c r="J66" s="48" t="s">
        <v>340</v>
      </c>
    </row>
    <row r="67">
      <c r="A67" s="76" t="s">
        <v>5</v>
      </c>
      <c r="B67" s="71" t="s">
        <v>346</v>
      </c>
      <c r="C67" s="71">
        <f t="shared" si="1"/>
        <v>45733</v>
      </c>
      <c r="D67" s="73" t="str">
        <f t="shared" si="2"/>
        <v>2025-03</v>
      </c>
      <c r="E67" s="74">
        <f t="shared" si="3"/>
        <v>2100</v>
      </c>
      <c r="F67" s="37">
        <v>84.0</v>
      </c>
      <c r="G67" s="36">
        <v>0.0</v>
      </c>
      <c r="H67" s="74"/>
      <c r="I67" s="74">
        <f t="shared" si="4"/>
        <v>4</v>
      </c>
      <c r="J67" s="48" t="s">
        <v>345</v>
      </c>
    </row>
    <row r="68">
      <c r="A68" s="76" t="s">
        <v>5</v>
      </c>
      <c r="B68" s="71" t="s">
        <v>351</v>
      </c>
      <c r="C68" s="71">
        <f t="shared" si="1"/>
        <v>45744</v>
      </c>
      <c r="D68" s="73" t="str">
        <f t="shared" si="2"/>
        <v>2025-03</v>
      </c>
      <c r="E68" s="74">
        <f t="shared" si="3"/>
        <v>2750</v>
      </c>
      <c r="F68" s="37">
        <v>110.0</v>
      </c>
      <c r="G68" s="36">
        <v>0.0</v>
      </c>
      <c r="H68" s="74"/>
      <c r="I68" s="74">
        <f t="shared" si="4"/>
        <v>4</v>
      </c>
      <c r="J68" s="48" t="s">
        <v>350</v>
      </c>
    </row>
    <row r="69">
      <c r="A69" s="76" t="s">
        <v>5</v>
      </c>
      <c r="B69" s="71" t="s">
        <v>355</v>
      </c>
      <c r="C69" s="71">
        <f t="shared" si="1"/>
        <v>45722</v>
      </c>
      <c r="D69" s="73" t="str">
        <f t="shared" si="2"/>
        <v>2025-03</v>
      </c>
      <c r="E69" s="74">
        <f t="shared" si="3"/>
        <v>5650</v>
      </c>
      <c r="F69" s="37">
        <v>226.0</v>
      </c>
      <c r="G69" s="36">
        <v>1.0</v>
      </c>
      <c r="H69" s="74"/>
      <c r="I69" s="74">
        <f t="shared" si="4"/>
        <v>4.02</v>
      </c>
      <c r="J69" s="48" t="s">
        <v>354</v>
      </c>
    </row>
    <row r="70">
      <c r="A70" s="76" t="s">
        <v>5</v>
      </c>
      <c r="B70" s="71" t="s">
        <v>360</v>
      </c>
      <c r="C70" s="71">
        <f t="shared" si="1"/>
        <v>45694</v>
      </c>
      <c r="D70" s="73" t="str">
        <f t="shared" si="2"/>
        <v>2025-02</v>
      </c>
      <c r="E70" s="74">
        <f t="shared" si="3"/>
        <v>6675</v>
      </c>
      <c r="F70" s="37">
        <v>267.0</v>
      </c>
      <c r="G70" s="36">
        <v>0.0</v>
      </c>
      <c r="H70" s="74"/>
      <c r="I70" s="74">
        <f t="shared" si="4"/>
        <v>4</v>
      </c>
      <c r="J70" s="48" t="s">
        <v>359</v>
      </c>
    </row>
    <row r="71">
      <c r="A71" s="76" t="s">
        <v>5</v>
      </c>
      <c r="B71" s="71" t="s">
        <v>365</v>
      </c>
      <c r="C71" s="71">
        <f t="shared" si="1"/>
        <v>45615</v>
      </c>
      <c r="D71" s="73" t="str">
        <f t="shared" si="2"/>
        <v>2024-11</v>
      </c>
      <c r="E71" s="74">
        <f t="shared" si="3"/>
        <v>5675</v>
      </c>
      <c r="F71" s="37">
        <v>227.0</v>
      </c>
      <c r="G71" s="36">
        <v>0.0</v>
      </c>
      <c r="H71" s="74"/>
      <c r="I71" s="74">
        <f t="shared" si="4"/>
        <v>4</v>
      </c>
      <c r="J71" s="48" t="s">
        <v>364</v>
      </c>
    </row>
    <row r="72">
      <c r="A72" s="76" t="s">
        <v>5</v>
      </c>
      <c r="B72" s="71" t="s">
        <v>370</v>
      </c>
      <c r="C72" s="71">
        <f t="shared" si="1"/>
        <v>45650</v>
      </c>
      <c r="D72" s="73" t="str">
        <f t="shared" si="2"/>
        <v>2024-12</v>
      </c>
      <c r="E72" s="74">
        <f t="shared" si="3"/>
        <v>7550</v>
      </c>
      <c r="F72" s="37">
        <v>302.0</v>
      </c>
      <c r="G72" s="36">
        <v>1.0</v>
      </c>
      <c r="H72" s="74"/>
      <c r="I72" s="74">
        <f t="shared" si="4"/>
        <v>4.01</v>
      </c>
      <c r="J72" s="48" t="s">
        <v>369</v>
      </c>
    </row>
    <row r="73">
      <c r="A73" s="76" t="s">
        <v>5</v>
      </c>
      <c r="B73" s="71" t="s">
        <v>374</v>
      </c>
      <c r="C73" s="71">
        <f t="shared" si="1"/>
        <v>45722</v>
      </c>
      <c r="D73" s="73" t="str">
        <f t="shared" si="2"/>
        <v>2025-03</v>
      </c>
      <c r="E73" s="74">
        <f t="shared" si="3"/>
        <v>4325</v>
      </c>
      <c r="F73" s="37">
        <v>173.0</v>
      </c>
      <c r="G73" s="36">
        <v>0.0</v>
      </c>
      <c r="H73" s="74"/>
      <c r="I73" s="74">
        <f t="shared" si="4"/>
        <v>4</v>
      </c>
      <c r="J73" s="48" t="s">
        <v>373</v>
      </c>
    </row>
    <row r="74">
      <c r="A74" s="76" t="s">
        <v>5</v>
      </c>
      <c r="B74" s="71" t="s">
        <v>379</v>
      </c>
      <c r="C74" s="71">
        <f t="shared" si="1"/>
        <v>45722</v>
      </c>
      <c r="D74" s="73" t="str">
        <f t="shared" si="2"/>
        <v>2025-03</v>
      </c>
      <c r="E74" s="74">
        <f t="shared" si="3"/>
        <v>4000</v>
      </c>
      <c r="F74" s="37">
        <v>160.0</v>
      </c>
      <c r="G74" s="36">
        <v>1.0</v>
      </c>
      <c r="H74" s="74"/>
      <c r="I74" s="74">
        <f t="shared" si="4"/>
        <v>4.03</v>
      </c>
      <c r="J74" s="48" t="s">
        <v>378</v>
      </c>
    </row>
    <row r="75">
      <c r="A75" s="76" t="s">
        <v>5</v>
      </c>
      <c r="B75" s="71" t="s">
        <v>384</v>
      </c>
      <c r="C75" s="71">
        <f t="shared" si="1"/>
        <v>45722</v>
      </c>
      <c r="D75" s="73" t="str">
        <f t="shared" si="2"/>
        <v>2025-03</v>
      </c>
      <c r="E75" s="74">
        <f t="shared" si="3"/>
        <v>3450</v>
      </c>
      <c r="F75" s="37">
        <v>138.0</v>
      </c>
      <c r="G75" s="36">
        <v>1.0</v>
      </c>
      <c r="H75" s="74"/>
      <c r="I75" s="74">
        <f t="shared" si="4"/>
        <v>4.03</v>
      </c>
      <c r="J75" s="48" t="s">
        <v>383</v>
      </c>
    </row>
    <row r="76">
      <c r="A76" s="76" t="s">
        <v>5</v>
      </c>
      <c r="B76" s="71" t="s">
        <v>389</v>
      </c>
      <c r="C76" s="71">
        <f t="shared" si="1"/>
        <v>45722</v>
      </c>
      <c r="D76" s="73" t="str">
        <f t="shared" si="2"/>
        <v>2025-03</v>
      </c>
      <c r="E76" s="74">
        <f t="shared" si="3"/>
        <v>2825</v>
      </c>
      <c r="F76" s="37">
        <v>113.0</v>
      </c>
      <c r="G76" s="36">
        <v>0.0</v>
      </c>
      <c r="H76" s="74"/>
      <c r="I76" s="74">
        <f t="shared" si="4"/>
        <v>4</v>
      </c>
      <c r="J76" s="48" t="s">
        <v>388</v>
      </c>
    </row>
    <row r="77">
      <c r="A77" s="76" t="s">
        <v>5</v>
      </c>
      <c r="B77" s="71" t="s">
        <v>394</v>
      </c>
      <c r="C77" s="71">
        <f t="shared" si="1"/>
        <v>45600</v>
      </c>
      <c r="D77" s="73" t="str">
        <f t="shared" si="2"/>
        <v>2024-11</v>
      </c>
      <c r="E77" s="74">
        <f t="shared" si="3"/>
        <v>9700</v>
      </c>
      <c r="F77" s="37">
        <v>388.0</v>
      </c>
      <c r="G77" s="36">
        <v>7.0</v>
      </c>
      <c r="H77" s="74"/>
      <c r="I77" s="74">
        <f t="shared" si="4"/>
        <v>4.07</v>
      </c>
      <c r="J77" s="48" t="s">
        <v>393</v>
      </c>
    </row>
    <row r="78">
      <c r="A78" s="76" t="s">
        <v>5</v>
      </c>
      <c r="B78" s="71" t="s">
        <v>399</v>
      </c>
      <c r="C78" s="71">
        <f t="shared" si="1"/>
        <v>45729</v>
      </c>
      <c r="D78" s="73" t="str">
        <f t="shared" si="2"/>
        <v>2025-03</v>
      </c>
      <c r="E78" s="74">
        <f t="shared" si="3"/>
        <v>2375</v>
      </c>
      <c r="F78" s="37">
        <v>95.0</v>
      </c>
      <c r="G78" s="36">
        <v>0.0</v>
      </c>
      <c r="H78" s="74"/>
      <c r="I78" s="74">
        <f t="shared" si="4"/>
        <v>4</v>
      </c>
      <c r="J78" s="48" t="s">
        <v>398</v>
      </c>
    </row>
    <row r="79">
      <c r="A79" s="76" t="s">
        <v>5</v>
      </c>
      <c r="B79" s="71" t="s">
        <v>404</v>
      </c>
      <c r="C79" s="71">
        <f t="shared" si="1"/>
        <v>45341</v>
      </c>
      <c r="D79" s="73" t="str">
        <f t="shared" si="2"/>
        <v>2024-02</v>
      </c>
      <c r="E79" s="74">
        <f t="shared" si="3"/>
        <v>4075</v>
      </c>
      <c r="F79" s="37">
        <v>163.0</v>
      </c>
      <c r="G79" s="36">
        <v>3.0</v>
      </c>
      <c r="H79" s="74"/>
      <c r="I79" s="74">
        <f t="shared" si="4"/>
        <v>4.07</v>
      </c>
      <c r="J79" s="48" t="s">
        <v>403</v>
      </c>
    </row>
    <row r="80">
      <c r="A80" s="76" t="s">
        <v>5</v>
      </c>
      <c r="B80" s="71" t="s">
        <v>408</v>
      </c>
      <c r="C80" s="71">
        <f t="shared" si="1"/>
        <v>45455</v>
      </c>
      <c r="D80" s="73" t="str">
        <f t="shared" si="2"/>
        <v>2024-06</v>
      </c>
      <c r="E80" s="74">
        <f t="shared" si="3"/>
        <v>6525</v>
      </c>
      <c r="F80" s="37">
        <v>261.0</v>
      </c>
      <c r="G80" s="36">
        <v>2.0</v>
      </c>
      <c r="H80" s="74"/>
      <c r="I80" s="74">
        <f t="shared" si="4"/>
        <v>4.03</v>
      </c>
      <c r="J80" s="48" t="s">
        <v>407</v>
      </c>
    </row>
    <row r="81">
      <c r="A81" s="76" t="s">
        <v>5</v>
      </c>
      <c r="B81" s="71" t="s">
        <v>413</v>
      </c>
      <c r="C81" s="71">
        <f t="shared" si="1"/>
        <v>45727</v>
      </c>
      <c r="D81" s="73" t="str">
        <f t="shared" si="2"/>
        <v>2025-03</v>
      </c>
      <c r="E81" s="74">
        <f t="shared" si="3"/>
        <v>5000</v>
      </c>
      <c r="F81" s="37">
        <v>200.0</v>
      </c>
      <c r="G81" s="36">
        <v>1.0</v>
      </c>
      <c r="H81" s="74"/>
      <c r="I81" s="74">
        <f t="shared" si="4"/>
        <v>4.02</v>
      </c>
      <c r="J81" s="48" t="s">
        <v>412</v>
      </c>
    </row>
    <row r="82">
      <c r="A82" s="76" t="s">
        <v>5</v>
      </c>
      <c r="B82" s="71" t="s">
        <v>418</v>
      </c>
      <c r="C82" s="71">
        <f t="shared" si="1"/>
        <v>45744</v>
      </c>
      <c r="D82" s="73" t="str">
        <f t="shared" si="2"/>
        <v>2025-03</v>
      </c>
      <c r="E82" s="74">
        <f t="shared" si="3"/>
        <v>3350</v>
      </c>
      <c r="F82" s="37">
        <v>134.0</v>
      </c>
      <c r="G82" s="36">
        <v>0.0</v>
      </c>
      <c r="H82" s="74"/>
      <c r="I82" s="74">
        <f t="shared" si="4"/>
        <v>4</v>
      </c>
      <c r="J82" s="48" t="s">
        <v>417</v>
      </c>
    </row>
    <row r="83">
      <c r="A83" s="76" t="s">
        <v>5</v>
      </c>
      <c r="B83" s="71" t="s">
        <v>422</v>
      </c>
      <c r="C83" s="71">
        <f t="shared" si="1"/>
        <v>45706</v>
      </c>
      <c r="D83" s="73" t="str">
        <f t="shared" si="2"/>
        <v>2025-02</v>
      </c>
      <c r="E83" s="74">
        <f t="shared" si="3"/>
        <v>4650</v>
      </c>
      <c r="F83" s="37">
        <v>186.0</v>
      </c>
      <c r="G83" s="36">
        <v>1.0</v>
      </c>
      <c r="H83" s="74"/>
      <c r="I83" s="74">
        <f t="shared" si="4"/>
        <v>4.02</v>
      </c>
      <c r="J83" s="48" t="s">
        <v>421</v>
      </c>
    </row>
    <row r="84">
      <c r="A84" s="76" t="s">
        <v>5</v>
      </c>
      <c r="B84" s="71" t="s">
        <v>427</v>
      </c>
      <c r="C84" s="71">
        <f t="shared" si="1"/>
        <v>45525</v>
      </c>
      <c r="D84" s="73" t="str">
        <f t="shared" si="2"/>
        <v>2024-08</v>
      </c>
      <c r="E84" s="74">
        <f t="shared" si="3"/>
        <v>4475</v>
      </c>
      <c r="F84" s="37">
        <v>179.0</v>
      </c>
      <c r="G84" s="36">
        <v>2.0</v>
      </c>
      <c r="H84" s="74"/>
      <c r="I84" s="74">
        <f t="shared" si="4"/>
        <v>4.04</v>
      </c>
      <c r="J84" s="48" t="s">
        <v>426</v>
      </c>
    </row>
    <row r="85">
      <c r="A85" s="76" t="s">
        <v>5</v>
      </c>
      <c r="B85" s="71" t="s">
        <v>432</v>
      </c>
      <c r="C85" s="71">
        <f t="shared" si="1"/>
        <v>45331</v>
      </c>
      <c r="D85" s="73" t="str">
        <f t="shared" si="2"/>
        <v>2024-02</v>
      </c>
      <c r="E85" s="74">
        <f t="shared" si="3"/>
        <v>7900</v>
      </c>
      <c r="F85" s="37">
        <v>316.0</v>
      </c>
      <c r="G85" s="36">
        <v>5.0</v>
      </c>
      <c r="H85" s="74"/>
      <c r="I85" s="74">
        <f t="shared" si="4"/>
        <v>4.06</v>
      </c>
      <c r="J85" s="48" t="s">
        <v>431</v>
      </c>
    </row>
    <row r="86">
      <c r="A86" s="76" t="s">
        <v>5</v>
      </c>
      <c r="B86" s="71" t="s">
        <v>437</v>
      </c>
      <c r="C86" s="71">
        <f t="shared" si="1"/>
        <v>45433</v>
      </c>
      <c r="D86" s="73" t="str">
        <f t="shared" si="2"/>
        <v>2024-05</v>
      </c>
      <c r="E86" s="74">
        <f t="shared" si="3"/>
        <v>6475</v>
      </c>
      <c r="F86" s="37">
        <v>259.0</v>
      </c>
      <c r="G86" s="36">
        <v>2.0</v>
      </c>
      <c r="H86" s="74"/>
      <c r="I86" s="74">
        <f t="shared" si="4"/>
        <v>4.03</v>
      </c>
      <c r="J86" s="48" t="s">
        <v>436</v>
      </c>
    </row>
    <row r="87">
      <c r="A87" s="76" t="s">
        <v>5</v>
      </c>
      <c r="B87" s="71" t="s">
        <v>442</v>
      </c>
      <c r="C87" s="71">
        <f t="shared" si="1"/>
        <v>45590</v>
      </c>
      <c r="D87" s="73" t="str">
        <f t="shared" si="2"/>
        <v>2024-10</v>
      </c>
      <c r="E87" s="74">
        <f t="shared" si="3"/>
        <v>5675</v>
      </c>
      <c r="F87" s="37">
        <v>227.0</v>
      </c>
      <c r="G87" s="36">
        <v>1.0</v>
      </c>
      <c r="H87" s="74"/>
      <c r="I87" s="74">
        <f t="shared" si="4"/>
        <v>4.02</v>
      </c>
      <c r="J87" s="48" t="s">
        <v>441</v>
      </c>
    </row>
    <row r="88">
      <c r="A88" s="76" t="s">
        <v>5</v>
      </c>
      <c r="B88" s="71" t="s">
        <v>447</v>
      </c>
      <c r="C88" s="71">
        <f t="shared" si="1"/>
        <v>45596</v>
      </c>
      <c r="D88" s="73" t="str">
        <f t="shared" si="2"/>
        <v>2024-10</v>
      </c>
      <c r="E88" s="74">
        <f t="shared" si="3"/>
        <v>7500</v>
      </c>
      <c r="F88" s="37">
        <v>300.0</v>
      </c>
      <c r="G88" s="36">
        <v>3.0</v>
      </c>
      <c r="H88" s="74"/>
      <c r="I88" s="74">
        <f t="shared" si="4"/>
        <v>4.04</v>
      </c>
      <c r="J88" s="48" t="s">
        <v>446</v>
      </c>
    </row>
    <row r="89">
      <c r="A89" s="76" t="s">
        <v>5</v>
      </c>
      <c r="B89" s="71" t="s">
        <v>451</v>
      </c>
      <c r="C89" s="71">
        <f t="shared" si="1"/>
        <v>45470</v>
      </c>
      <c r="D89" s="73" t="str">
        <f t="shared" si="2"/>
        <v>2024-06</v>
      </c>
      <c r="E89" s="74">
        <f t="shared" si="3"/>
        <v>6450</v>
      </c>
      <c r="F89" s="37">
        <v>258.0</v>
      </c>
      <c r="G89" s="36">
        <v>7.0</v>
      </c>
      <c r="H89" s="74"/>
      <c r="I89" s="74">
        <f t="shared" si="4"/>
        <v>4.11</v>
      </c>
      <c r="J89" s="48" t="s">
        <v>450</v>
      </c>
    </row>
    <row r="90">
      <c r="A90" s="76" t="s">
        <v>5</v>
      </c>
      <c r="B90" s="71" t="s">
        <v>456</v>
      </c>
      <c r="C90" s="71">
        <f t="shared" si="1"/>
        <v>45736</v>
      </c>
      <c r="D90" s="73" t="str">
        <f t="shared" si="2"/>
        <v>2025-03</v>
      </c>
      <c r="E90" s="74">
        <f t="shared" si="3"/>
        <v>3275</v>
      </c>
      <c r="F90" s="37">
        <v>131.0</v>
      </c>
      <c r="G90" s="36">
        <v>1.0</v>
      </c>
      <c r="H90" s="74"/>
      <c r="I90" s="74">
        <f t="shared" si="4"/>
        <v>4.03</v>
      </c>
      <c r="J90" s="48" t="s">
        <v>455</v>
      </c>
    </row>
    <row r="91">
      <c r="A91" s="76" t="s">
        <v>5</v>
      </c>
      <c r="B91" s="71" t="s">
        <v>460</v>
      </c>
      <c r="C91" s="71">
        <f t="shared" si="1"/>
        <v>45244</v>
      </c>
      <c r="D91" s="73" t="str">
        <f t="shared" si="2"/>
        <v>2023-11</v>
      </c>
      <c r="E91" s="74">
        <f t="shared" si="3"/>
        <v>5125</v>
      </c>
      <c r="F91" s="37">
        <v>205.0</v>
      </c>
      <c r="G91" s="36">
        <v>0.0</v>
      </c>
      <c r="H91" s="74"/>
      <c r="I91" s="74">
        <f t="shared" si="4"/>
        <v>4</v>
      </c>
      <c r="J91" s="48" t="s">
        <v>459</v>
      </c>
    </row>
    <row r="92">
      <c r="A92" s="76" t="s">
        <v>5</v>
      </c>
      <c r="B92" s="71" t="s">
        <v>464</v>
      </c>
      <c r="C92" s="71">
        <f t="shared" si="1"/>
        <v>45604</v>
      </c>
      <c r="D92" s="73" t="str">
        <f t="shared" si="2"/>
        <v>2024-11</v>
      </c>
      <c r="E92" s="74">
        <f t="shared" si="3"/>
        <v>3625</v>
      </c>
      <c r="F92" s="37">
        <v>145.0</v>
      </c>
      <c r="G92" s="36">
        <v>1.0</v>
      </c>
      <c r="H92" s="74"/>
      <c r="I92" s="74">
        <f t="shared" si="4"/>
        <v>4.03</v>
      </c>
      <c r="J92" s="48" t="s">
        <v>463</v>
      </c>
    </row>
    <row r="93">
      <c r="A93" s="76" t="s">
        <v>5</v>
      </c>
      <c r="B93" s="71" t="s">
        <v>469</v>
      </c>
      <c r="C93" s="71">
        <f t="shared" si="1"/>
        <v>45322</v>
      </c>
      <c r="D93" s="73" t="str">
        <f t="shared" si="2"/>
        <v>2024-01</v>
      </c>
      <c r="E93" s="74">
        <f t="shared" si="3"/>
        <v>5275</v>
      </c>
      <c r="F93" s="37">
        <v>211.0</v>
      </c>
      <c r="G93" s="36">
        <v>5.0</v>
      </c>
      <c r="H93" s="74"/>
      <c r="I93" s="74">
        <f t="shared" si="4"/>
        <v>4.09</v>
      </c>
      <c r="J93" s="48" t="s">
        <v>468</v>
      </c>
    </row>
    <row r="94">
      <c r="A94" s="76" t="s">
        <v>5</v>
      </c>
      <c r="B94" s="71" t="s">
        <v>474</v>
      </c>
      <c r="C94" s="71">
        <f t="shared" si="1"/>
        <v>45285</v>
      </c>
      <c r="D94" s="73" t="str">
        <f t="shared" si="2"/>
        <v>2023-12</v>
      </c>
      <c r="E94" s="74">
        <f t="shared" si="3"/>
        <v>6350</v>
      </c>
      <c r="F94" s="37">
        <v>254.0</v>
      </c>
      <c r="G94" s="36">
        <v>2.0</v>
      </c>
      <c r="H94" s="74"/>
      <c r="I94" s="74">
        <f t="shared" si="4"/>
        <v>4.03</v>
      </c>
      <c r="J94" s="48" t="s">
        <v>473</v>
      </c>
    </row>
    <row r="95">
      <c r="A95" s="76" t="s">
        <v>5</v>
      </c>
      <c r="B95" s="71" t="s">
        <v>478</v>
      </c>
      <c r="C95" s="71">
        <f t="shared" si="1"/>
        <v>45261</v>
      </c>
      <c r="D95" s="73" t="str">
        <f t="shared" si="2"/>
        <v>2023-12</v>
      </c>
      <c r="E95" s="74">
        <f t="shared" si="3"/>
        <v>7400</v>
      </c>
      <c r="F95" s="37">
        <v>296.0</v>
      </c>
      <c r="G95" s="36">
        <v>1.0</v>
      </c>
      <c r="H95" s="74"/>
      <c r="I95" s="74">
        <f t="shared" si="4"/>
        <v>4.01</v>
      </c>
      <c r="J95" s="48" t="s">
        <v>477</v>
      </c>
    </row>
    <row r="96">
      <c r="A96" s="76" t="s">
        <v>5</v>
      </c>
      <c r="B96" s="71" t="s">
        <v>484</v>
      </c>
      <c r="C96" s="71">
        <f t="shared" si="1"/>
        <v>45261</v>
      </c>
      <c r="D96" s="73" t="str">
        <f t="shared" si="2"/>
        <v>2023-12</v>
      </c>
      <c r="E96" s="74">
        <f t="shared" si="3"/>
        <v>3800</v>
      </c>
      <c r="F96" s="37">
        <v>152.0</v>
      </c>
      <c r="G96" s="36">
        <v>2.0</v>
      </c>
      <c r="H96" s="74"/>
      <c r="I96" s="74">
        <f t="shared" si="4"/>
        <v>4.05</v>
      </c>
      <c r="J96" s="48" t="s">
        <v>482</v>
      </c>
    </row>
    <row r="97">
      <c r="A97" s="76" t="s">
        <v>5</v>
      </c>
      <c r="B97" s="71" t="s">
        <v>488</v>
      </c>
      <c r="C97" s="71">
        <f t="shared" si="1"/>
        <v>45303</v>
      </c>
      <c r="D97" s="73" t="str">
        <f t="shared" si="2"/>
        <v>2024-01</v>
      </c>
      <c r="E97" s="74">
        <f t="shared" si="3"/>
        <v>6400</v>
      </c>
      <c r="F97" s="37">
        <v>256.0</v>
      </c>
      <c r="G97" s="36">
        <v>2.0</v>
      </c>
      <c r="H97" s="74"/>
      <c r="I97" s="74">
        <f t="shared" si="4"/>
        <v>4.03</v>
      </c>
      <c r="J97" s="48" t="s">
        <v>487</v>
      </c>
    </row>
    <row r="98">
      <c r="A98" s="76" t="s">
        <v>5</v>
      </c>
      <c r="B98" s="71" t="s">
        <v>492</v>
      </c>
      <c r="C98" s="71">
        <f t="shared" si="1"/>
        <v>45283</v>
      </c>
      <c r="D98" s="73" t="str">
        <f t="shared" si="2"/>
        <v>2023-12</v>
      </c>
      <c r="E98" s="74">
        <f t="shared" si="3"/>
        <v>5250</v>
      </c>
      <c r="F98" s="37">
        <v>210.0</v>
      </c>
      <c r="G98" s="36">
        <v>3.0</v>
      </c>
      <c r="H98" s="74"/>
      <c r="I98" s="74">
        <f t="shared" si="4"/>
        <v>4.06</v>
      </c>
      <c r="J98" s="48" t="s">
        <v>491</v>
      </c>
    </row>
    <row r="99">
      <c r="A99" s="76" t="s">
        <v>5</v>
      </c>
      <c r="B99" s="71" t="s">
        <v>496</v>
      </c>
      <c r="C99" s="71">
        <f t="shared" si="1"/>
        <v>45433</v>
      </c>
      <c r="D99" s="73" t="str">
        <f t="shared" si="2"/>
        <v>2024-05</v>
      </c>
      <c r="E99" s="74">
        <f t="shared" si="3"/>
        <v>4425</v>
      </c>
      <c r="F99" s="37">
        <v>177.0</v>
      </c>
      <c r="G99" s="36">
        <v>0.0</v>
      </c>
      <c r="H99" s="74"/>
      <c r="I99" s="74">
        <f t="shared" si="4"/>
        <v>4</v>
      </c>
      <c r="J99" s="48" t="s">
        <v>495</v>
      </c>
    </row>
    <row r="100">
      <c r="A100" s="76" t="s">
        <v>5</v>
      </c>
      <c r="B100" s="71" t="s">
        <v>501</v>
      </c>
      <c r="C100" s="71">
        <f t="shared" si="1"/>
        <v>45729</v>
      </c>
      <c r="D100" s="73" t="str">
        <f t="shared" si="2"/>
        <v>2025-03</v>
      </c>
      <c r="E100" s="74">
        <f t="shared" si="3"/>
        <v>1900</v>
      </c>
      <c r="F100" s="37">
        <v>76.0</v>
      </c>
      <c r="G100" s="36">
        <v>0.0</v>
      </c>
      <c r="H100" s="74"/>
      <c r="I100" s="74">
        <f t="shared" si="4"/>
        <v>4</v>
      </c>
      <c r="J100" s="48" t="s">
        <v>500</v>
      </c>
    </row>
    <row r="101">
      <c r="A101" s="76" t="s">
        <v>5</v>
      </c>
      <c r="B101" s="71" t="s">
        <v>506</v>
      </c>
      <c r="C101" s="71">
        <f t="shared" si="1"/>
        <v>45598</v>
      </c>
      <c r="D101" s="73" t="str">
        <f t="shared" si="2"/>
        <v>2024-11</v>
      </c>
      <c r="E101" s="74">
        <f t="shared" si="3"/>
        <v>6250</v>
      </c>
      <c r="F101" s="37">
        <v>250.0</v>
      </c>
      <c r="G101" s="36">
        <v>1.0</v>
      </c>
      <c r="H101" s="74"/>
      <c r="I101" s="74">
        <f t="shared" si="4"/>
        <v>4.02</v>
      </c>
      <c r="J101" s="48" t="s">
        <v>505</v>
      </c>
    </row>
    <row r="102">
      <c r="A102" s="76" t="s">
        <v>5</v>
      </c>
      <c r="B102" s="71" t="s">
        <v>511</v>
      </c>
      <c r="C102" s="71">
        <f t="shared" si="1"/>
        <v>45455</v>
      </c>
      <c r="D102" s="73" t="str">
        <f t="shared" si="2"/>
        <v>2024-06</v>
      </c>
      <c r="E102" s="74">
        <f t="shared" si="3"/>
        <v>6400</v>
      </c>
      <c r="F102" s="37">
        <v>256.0</v>
      </c>
      <c r="G102" s="36">
        <v>2.0</v>
      </c>
      <c r="H102" s="74"/>
      <c r="I102" s="74">
        <f t="shared" si="4"/>
        <v>4.03</v>
      </c>
      <c r="J102" s="48" t="s">
        <v>510</v>
      </c>
    </row>
    <row r="103">
      <c r="A103" s="76" t="s">
        <v>5</v>
      </c>
      <c r="B103" s="71" t="s">
        <v>515</v>
      </c>
      <c r="C103" s="71">
        <f t="shared" si="1"/>
        <v>45455</v>
      </c>
      <c r="D103" s="73" t="str">
        <f t="shared" si="2"/>
        <v>2024-06</v>
      </c>
      <c r="E103" s="74">
        <f t="shared" si="3"/>
        <v>12450</v>
      </c>
      <c r="F103" s="37">
        <v>498.0</v>
      </c>
      <c r="G103" s="36">
        <v>3.0</v>
      </c>
      <c r="H103" s="74"/>
      <c r="I103" s="74">
        <f t="shared" si="4"/>
        <v>4.02</v>
      </c>
      <c r="J103" s="48" t="s">
        <v>514</v>
      </c>
    </row>
    <row r="104">
      <c r="A104" s="76" t="s">
        <v>5</v>
      </c>
      <c r="B104" s="71" t="s">
        <v>519</v>
      </c>
      <c r="C104" s="71">
        <f t="shared" si="1"/>
        <v>45282</v>
      </c>
      <c r="D104" s="73" t="str">
        <f t="shared" si="2"/>
        <v>2023-12</v>
      </c>
      <c r="E104" s="74">
        <f t="shared" si="3"/>
        <v>9325</v>
      </c>
      <c r="F104" s="37">
        <v>373.0</v>
      </c>
      <c r="G104" s="36">
        <v>6.0</v>
      </c>
      <c r="H104" s="74"/>
      <c r="I104" s="74">
        <f t="shared" si="4"/>
        <v>4.06</v>
      </c>
      <c r="J104" s="48" t="s">
        <v>518</v>
      </c>
    </row>
    <row r="105">
      <c r="A105" s="76" t="s">
        <v>5</v>
      </c>
      <c r="B105" s="71" t="s">
        <v>523</v>
      </c>
      <c r="C105" s="71">
        <f t="shared" si="1"/>
        <v>45274</v>
      </c>
      <c r="D105" s="73" t="str">
        <f t="shared" si="2"/>
        <v>2023-12</v>
      </c>
      <c r="E105" s="74">
        <f t="shared" si="3"/>
        <v>3450</v>
      </c>
      <c r="F105" s="37">
        <v>138.0</v>
      </c>
      <c r="G105" s="36">
        <v>1.0</v>
      </c>
      <c r="H105" s="74"/>
      <c r="I105" s="74">
        <f t="shared" si="4"/>
        <v>4.03</v>
      </c>
      <c r="J105" s="48" t="s">
        <v>522</v>
      </c>
    </row>
    <row r="106">
      <c r="A106" s="76" t="s">
        <v>5</v>
      </c>
      <c r="B106" s="71" t="s">
        <v>527</v>
      </c>
      <c r="C106" s="71">
        <f t="shared" si="1"/>
        <v>45258</v>
      </c>
      <c r="D106" s="73" t="str">
        <f t="shared" si="2"/>
        <v>2023-11</v>
      </c>
      <c r="E106" s="74">
        <f t="shared" si="3"/>
        <v>7450</v>
      </c>
      <c r="F106" s="37">
        <v>298.0</v>
      </c>
      <c r="G106" s="36">
        <v>1.0</v>
      </c>
      <c r="H106" s="74"/>
      <c r="I106" s="74">
        <f t="shared" si="4"/>
        <v>4.01</v>
      </c>
      <c r="J106" s="48" t="s">
        <v>526</v>
      </c>
    </row>
    <row r="107">
      <c r="A107" s="76" t="s">
        <v>5</v>
      </c>
      <c r="B107" s="71" t="s">
        <v>532</v>
      </c>
      <c r="C107" s="71">
        <f t="shared" si="1"/>
        <v>45240</v>
      </c>
      <c r="D107" s="73" t="str">
        <f t="shared" si="2"/>
        <v>2023-11</v>
      </c>
      <c r="E107" s="74">
        <f t="shared" si="3"/>
        <v>7250</v>
      </c>
      <c r="F107" s="37">
        <v>290.0</v>
      </c>
      <c r="G107" s="36">
        <v>0.0</v>
      </c>
      <c r="H107" s="74"/>
      <c r="I107" s="74">
        <f t="shared" si="4"/>
        <v>4</v>
      </c>
      <c r="J107" s="48" t="s">
        <v>531</v>
      </c>
    </row>
    <row r="108">
      <c r="A108" s="76" t="s">
        <v>5</v>
      </c>
      <c r="B108" s="71" t="s">
        <v>537</v>
      </c>
      <c r="C108" s="71">
        <f t="shared" si="1"/>
        <v>45283</v>
      </c>
      <c r="D108" s="73" t="str">
        <f t="shared" si="2"/>
        <v>2023-12</v>
      </c>
      <c r="E108" s="74">
        <f t="shared" si="3"/>
        <v>5850</v>
      </c>
      <c r="F108" s="37">
        <v>234.0</v>
      </c>
      <c r="G108" s="36">
        <v>6.0</v>
      </c>
      <c r="H108" s="74"/>
      <c r="I108" s="74">
        <f t="shared" si="4"/>
        <v>4.1</v>
      </c>
      <c r="J108" s="48" t="s">
        <v>536</v>
      </c>
    </row>
    <row r="109">
      <c r="A109" s="76" t="s">
        <v>5</v>
      </c>
      <c r="B109" s="71" t="s">
        <v>541</v>
      </c>
      <c r="C109" s="71">
        <f t="shared" si="1"/>
        <v>45694</v>
      </c>
      <c r="D109" s="73" t="str">
        <f t="shared" si="2"/>
        <v>2025-02</v>
      </c>
      <c r="E109" s="74">
        <f t="shared" si="3"/>
        <v>8400</v>
      </c>
      <c r="F109" s="37">
        <v>336.0</v>
      </c>
      <c r="G109" s="36">
        <v>6.0</v>
      </c>
      <c r="H109" s="74"/>
      <c r="I109" s="74">
        <f t="shared" si="4"/>
        <v>4.07</v>
      </c>
      <c r="J109" s="48" t="s">
        <v>540</v>
      </c>
    </row>
    <row r="110">
      <c r="A110" s="76" t="s">
        <v>5</v>
      </c>
      <c r="B110" s="71" t="s">
        <v>546</v>
      </c>
      <c r="C110" s="71">
        <f t="shared" si="1"/>
        <v>45233</v>
      </c>
      <c r="D110" s="73" t="str">
        <f t="shared" si="2"/>
        <v>2023-11</v>
      </c>
      <c r="E110" s="74">
        <f t="shared" si="3"/>
        <v>5275</v>
      </c>
      <c r="F110" s="37">
        <v>211.0</v>
      </c>
      <c r="G110" s="36">
        <v>2.0</v>
      </c>
      <c r="H110" s="74"/>
      <c r="I110" s="74">
        <f t="shared" si="4"/>
        <v>4.04</v>
      </c>
      <c r="J110" s="48" t="s">
        <v>545</v>
      </c>
    </row>
    <row r="111">
      <c r="A111" s="76" t="s">
        <v>5</v>
      </c>
      <c r="B111" s="71" t="s">
        <v>551</v>
      </c>
      <c r="C111" s="71">
        <f t="shared" si="1"/>
        <v>45185</v>
      </c>
      <c r="D111" s="73" t="str">
        <f t="shared" si="2"/>
        <v>2023-09</v>
      </c>
      <c r="E111" s="74">
        <f t="shared" si="3"/>
        <v>8700</v>
      </c>
      <c r="F111" s="37">
        <v>348.0</v>
      </c>
      <c r="G111" s="36">
        <v>2.0</v>
      </c>
      <c r="H111" s="74"/>
      <c r="I111" s="74">
        <f t="shared" si="4"/>
        <v>4.02</v>
      </c>
      <c r="J111" s="48" t="s">
        <v>550</v>
      </c>
    </row>
    <row r="112">
      <c r="A112" s="76" t="s">
        <v>5</v>
      </c>
      <c r="B112" s="71" t="s">
        <v>555</v>
      </c>
      <c r="C112" s="71">
        <f t="shared" si="1"/>
        <v>45023</v>
      </c>
      <c r="D112" s="73" t="str">
        <f t="shared" si="2"/>
        <v>2023-04</v>
      </c>
      <c r="E112" s="74">
        <f t="shared" si="3"/>
        <v>6550</v>
      </c>
      <c r="F112" s="37">
        <v>262.0</v>
      </c>
      <c r="G112" s="36">
        <v>4.0</v>
      </c>
      <c r="H112" s="74"/>
      <c r="I112" s="74">
        <f t="shared" si="4"/>
        <v>4.06</v>
      </c>
      <c r="J112" s="48" t="s">
        <v>554</v>
      </c>
    </row>
    <row r="113">
      <c r="A113" s="76" t="s">
        <v>5</v>
      </c>
      <c r="B113" s="71" t="s">
        <v>560</v>
      </c>
      <c r="C113" s="71">
        <f t="shared" si="1"/>
        <v>45236</v>
      </c>
      <c r="D113" s="73" t="str">
        <f t="shared" si="2"/>
        <v>2023-11</v>
      </c>
      <c r="E113" s="74">
        <f t="shared" si="3"/>
        <v>6000</v>
      </c>
      <c r="F113" s="37">
        <v>240.0</v>
      </c>
      <c r="G113" s="36">
        <v>0.0</v>
      </c>
      <c r="H113" s="74"/>
      <c r="I113" s="74">
        <f t="shared" si="4"/>
        <v>4</v>
      </c>
      <c r="J113" s="48" t="s">
        <v>559</v>
      </c>
    </row>
    <row r="114">
      <c r="A114" s="76" t="s">
        <v>5</v>
      </c>
      <c r="B114" s="71" t="s">
        <v>565</v>
      </c>
      <c r="C114" s="71">
        <f t="shared" si="1"/>
        <v>44918</v>
      </c>
      <c r="D114" s="73" t="str">
        <f t="shared" si="2"/>
        <v>2022-12</v>
      </c>
      <c r="E114" s="74">
        <f t="shared" si="3"/>
        <v>10025</v>
      </c>
      <c r="F114" s="37">
        <v>401.0</v>
      </c>
      <c r="G114" s="36">
        <v>3.0</v>
      </c>
      <c r="H114" s="74"/>
      <c r="I114" s="74">
        <f t="shared" si="4"/>
        <v>4.03</v>
      </c>
      <c r="J114" s="48" t="s">
        <v>564</v>
      </c>
    </row>
    <row r="115">
      <c r="A115" s="76" t="s">
        <v>5</v>
      </c>
      <c r="B115" s="71" t="s">
        <v>570</v>
      </c>
      <c r="C115" s="71">
        <f t="shared" si="1"/>
        <v>45044</v>
      </c>
      <c r="D115" s="73" t="str">
        <f t="shared" si="2"/>
        <v>2023-04</v>
      </c>
      <c r="E115" s="74">
        <f t="shared" si="3"/>
        <v>11850</v>
      </c>
      <c r="F115" s="37">
        <v>474.0</v>
      </c>
      <c r="G115" s="36">
        <v>8.0</v>
      </c>
      <c r="H115" s="74"/>
      <c r="I115" s="74">
        <f t="shared" si="4"/>
        <v>4.07</v>
      </c>
      <c r="J115" s="48" t="s">
        <v>569</v>
      </c>
    </row>
    <row r="116">
      <c r="A116" s="76" t="s">
        <v>5</v>
      </c>
      <c r="B116" s="71" t="s">
        <v>574</v>
      </c>
      <c r="C116" s="71">
        <f t="shared" si="1"/>
        <v>45188</v>
      </c>
      <c r="D116" s="73" t="str">
        <f t="shared" si="2"/>
        <v>2023-09</v>
      </c>
      <c r="E116" s="74">
        <f t="shared" si="3"/>
        <v>9700</v>
      </c>
      <c r="F116" s="37">
        <v>388.0</v>
      </c>
      <c r="G116" s="36">
        <v>6.0</v>
      </c>
      <c r="H116" s="74"/>
      <c r="I116" s="74">
        <f t="shared" si="4"/>
        <v>4.06</v>
      </c>
      <c r="J116" s="48" t="s">
        <v>573</v>
      </c>
    </row>
    <row r="117">
      <c r="A117" s="76" t="s">
        <v>5</v>
      </c>
      <c r="B117" s="71" t="s">
        <v>579</v>
      </c>
      <c r="C117" s="71">
        <f t="shared" si="1"/>
        <v>45072</v>
      </c>
      <c r="D117" s="73" t="str">
        <f t="shared" si="2"/>
        <v>2023-05</v>
      </c>
      <c r="E117" s="74">
        <f t="shared" si="3"/>
        <v>12025</v>
      </c>
      <c r="F117" s="37">
        <v>481.0</v>
      </c>
      <c r="G117" s="36">
        <v>9.0</v>
      </c>
      <c r="H117" s="74"/>
      <c r="I117" s="74">
        <f t="shared" si="4"/>
        <v>4.07</v>
      </c>
      <c r="J117" s="48" t="s">
        <v>578</v>
      </c>
    </row>
    <row r="118">
      <c r="A118" s="76" t="s">
        <v>5</v>
      </c>
      <c r="B118" s="71" t="s">
        <v>584</v>
      </c>
      <c r="C118" s="71">
        <f t="shared" si="1"/>
        <v>45226</v>
      </c>
      <c r="D118" s="73" t="str">
        <f t="shared" si="2"/>
        <v>2023-10</v>
      </c>
      <c r="E118" s="74">
        <f t="shared" si="3"/>
        <v>5525</v>
      </c>
      <c r="F118" s="37">
        <v>221.0</v>
      </c>
      <c r="G118" s="36">
        <v>3.0</v>
      </c>
      <c r="H118" s="74"/>
      <c r="I118" s="74">
        <f t="shared" si="4"/>
        <v>4.05</v>
      </c>
      <c r="J118" s="48" t="s">
        <v>583</v>
      </c>
    </row>
    <row r="119">
      <c r="A119" s="76" t="s">
        <v>5</v>
      </c>
      <c r="B119" s="71" t="s">
        <v>589</v>
      </c>
      <c r="C119" s="71">
        <f t="shared" si="1"/>
        <v>45237</v>
      </c>
      <c r="D119" s="73" t="str">
        <f t="shared" si="2"/>
        <v>2023-11</v>
      </c>
      <c r="E119" s="74">
        <f t="shared" si="3"/>
        <v>6775</v>
      </c>
      <c r="F119" s="37">
        <v>271.0</v>
      </c>
      <c r="G119" s="36">
        <v>2.0</v>
      </c>
      <c r="H119" s="74"/>
      <c r="I119" s="74">
        <f t="shared" si="4"/>
        <v>4.03</v>
      </c>
      <c r="J119" s="48" t="s">
        <v>588</v>
      </c>
    </row>
    <row r="120">
      <c r="A120" s="76" t="s">
        <v>5</v>
      </c>
      <c r="B120" s="71" t="s">
        <v>593</v>
      </c>
      <c r="C120" s="71">
        <f t="shared" si="1"/>
        <v>45231</v>
      </c>
      <c r="D120" s="73" t="str">
        <f t="shared" si="2"/>
        <v>2023-11</v>
      </c>
      <c r="E120" s="74">
        <f t="shared" si="3"/>
        <v>5775</v>
      </c>
      <c r="F120" s="37">
        <v>231.0</v>
      </c>
      <c r="G120" s="36">
        <v>2.0</v>
      </c>
      <c r="H120" s="74"/>
      <c r="I120" s="74">
        <f t="shared" si="4"/>
        <v>4.03</v>
      </c>
      <c r="J120" s="48" t="s">
        <v>592</v>
      </c>
    </row>
    <row r="121">
      <c r="A121" s="76" t="s">
        <v>5</v>
      </c>
      <c r="B121" s="71" t="s">
        <v>598</v>
      </c>
      <c r="C121" s="71">
        <f t="shared" si="1"/>
        <v>45199</v>
      </c>
      <c r="D121" s="73" t="str">
        <f t="shared" si="2"/>
        <v>2023-09</v>
      </c>
      <c r="E121" s="74">
        <f t="shared" si="3"/>
        <v>8150</v>
      </c>
      <c r="F121" s="37">
        <v>326.0</v>
      </c>
      <c r="G121" s="36">
        <v>0.0</v>
      </c>
      <c r="H121" s="74"/>
      <c r="I121" s="74">
        <f t="shared" si="4"/>
        <v>4</v>
      </c>
      <c r="J121" s="48" t="s">
        <v>597</v>
      </c>
    </row>
    <row r="122">
      <c r="A122" s="76" t="s">
        <v>5</v>
      </c>
      <c r="B122" s="71" t="s">
        <v>603</v>
      </c>
      <c r="C122" s="71">
        <f t="shared" si="1"/>
        <v>44555</v>
      </c>
      <c r="D122" s="73" t="str">
        <f t="shared" si="2"/>
        <v>2021-12</v>
      </c>
      <c r="E122" s="74">
        <f t="shared" si="3"/>
        <v>5875</v>
      </c>
      <c r="F122" s="37">
        <v>235.0</v>
      </c>
      <c r="G122" s="36">
        <v>1.0</v>
      </c>
      <c r="H122" s="74"/>
      <c r="I122" s="74">
        <f t="shared" si="4"/>
        <v>4.02</v>
      </c>
      <c r="J122" s="48" t="s">
        <v>602</v>
      </c>
    </row>
    <row r="123">
      <c r="A123" s="76" t="s">
        <v>5</v>
      </c>
      <c r="B123" s="71" t="s">
        <v>608</v>
      </c>
      <c r="C123" s="71">
        <f t="shared" si="1"/>
        <v>44462</v>
      </c>
      <c r="D123" s="73" t="str">
        <f t="shared" si="2"/>
        <v>2021-09</v>
      </c>
      <c r="E123" s="74">
        <f t="shared" si="3"/>
        <v>6500</v>
      </c>
      <c r="F123" s="37">
        <v>260.0</v>
      </c>
      <c r="G123" s="36">
        <v>23.0</v>
      </c>
      <c r="H123" s="74"/>
      <c r="I123" s="74">
        <f t="shared" si="4"/>
        <v>4.35</v>
      </c>
      <c r="J123" s="48" t="s">
        <v>607</v>
      </c>
    </row>
    <row r="124">
      <c r="A124" s="76" t="s">
        <v>5</v>
      </c>
      <c r="B124" s="71" t="s">
        <v>613</v>
      </c>
      <c r="C124" s="71">
        <f t="shared" si="1"/>
        <v>44705</v>
      </c>
      <c r="D124" s="73" t="str">
        <f t="shared" si="2"/>
        <v>2022-05</v>
      </c>
      <c r="E124" s="74">
        <f t="shared" si="3"/>
        <v>12325</v>
      </c>
      <c r="F124" s="37">
        <v>493.0</v>
      </c>
      <c r="G124" s="36">
        <v>14.0</v>
      </c>
      <c r="H124" s="74"/>
      <c r="I124" s="74">
        <f t="shared" si="4"/>
        <v>4.11</v>
      </c>
      <c r="J124" s="48" t="s">
        <v>612</v>
      </c>
    </row>
    <row r="125">
      <c r="A125" s="76" t="s">
        <v>5</v>
      </c>
      <c r="B125" s="71" t="s">
        <v>618</v>
      </c>
      <c r="C125" s="71">
        <f t="shared" si="1"/>
        <v>44469</v>
      </c>
      <c r="D125" s="73" t="str">
        <f t="shared" si="2"/>
        <v>2021-09</v>
      </c>
      <c r="E125" s="74">
        <f t="shared" si="3"/>
        <v>7550</v>
      </c>
      <c r="F125" s="37">
        <v>302.0</v>
      </c>
      <c r="G125" s="36">
        <v>3.0</v>
      </c>
      <c r="H125" s="74"/>
      <c r="I125" s="74">
        <f t="shared" si="4"/>
        <v>4.04</v>
      </c>
      <c r="J125" s="48" t="s">
        <v>617</v>
      </c>
    </row>
    <row r="126">
      <c r="A126" s="76" t="s">
        <v>5</v>
      </c>
      <c r="B126" s="71" t="s">
        <v>623</v>
      </c>
      <c r="C126" s="71">
        <f t="shared" si="1"/>
        <v>44610</v>
      </c>
      <c r="D126" s="73" t="str">
        <f t="shared" si="2"/>
        <v>2022-02</v>
      </c>
      <c r="E126" s="74">
        <f t="shared" si="3"/>
        <v>10300</v>
      </c>
      <c r="F126" s="37">
        <v>412.0</v>
      </c>
      <c r="G126" s="36">
        <v>16.0</v>
      </c>
      <c r="H126" s="74"/>
      <c r="I126" s="74">
        <f t="shared" si="4"/>
        <v>4.16</v>
      </c>
      <c r="J126" s="48" t="s">
        <v>622</v>
      </c>
    </row>
    <row r="127">
      <c r="A127" s="76" t="s">
        <v>5</v>
      </c>
      <c r="B127" s="71" t="s">
        <v>628</v>
      </c>
      <c r="C127" s="71">
        <f t="shared" si="1"/>
        <v>44467</v>
      </c>
      <c r="D127" s="73" t="str">
        <f t="shared" si="2"/>
        <v>2021-09</v>
      </c>
      <c r="E127" s="74">
        <f t="shared" si="3"/>
        <v>10350</v>
      </c>
      <c r="F127" s="37">
        <v>414.0</v>
      </c>
      <c r="G127" s="36">
        <v>13.0</v>
      </c>
      <c r="H127" s="74"/>
      <c r="I127" s="74">
        <f t="shared" si="4"/>
        <v>4.13</v>
      </c>
      <c r="J127" s="48" t="s">
        <v>627</v>
      </c>
    </row>
    <row r="128">
      <c r="A128" s="76" t="s">
        <v>5</v>
      </c>
      <c r="B128" s="71" t="s">
        <v>632</v>
      </c>
      <c r="C128" s="71">
        <f t="shared" si="1"/>
        <v>44549</v>
      </c>
      <c r="D128" s="73" t="str">
        <f t="shared" si="2"/>
        <v>2021-12</v>
      </c>
      <c r="E128" s="74">
        <f t="shared" si="3"/>
        <v>6375</v>
      </c>
      <c r="F128" s="37">
        <v>255.0</v>
      </c>
      <c r="G128" s="36">
        <v>3.0</v>
      </c>
      <c r="H128" s="74"/>
      <c r="I128" s="74">
        <f t="shared" si="4"/>
        <v>4.05</v>
      </c>
      <c r="J128" s="48" t="s">
        <v>631</v>
      </c>
    </row>
    <row r="129">
      <c r="A129" s="76" t="s">
        <v>5</v>
      </c>
      <c r="B129" s="71" t="s">
        <v>637</v>
      </c>
      <c r="C129" s="71">
        <f t="shared" si="1"/>
        <v>44830</v>
      </c>
      <c r="D129" s="73" t="str">
        <f t="shared" si="2"/>
        <v>2022-09</v>
      </c>
      <c r="E129" s="74">
        <f t="shared" si="3"/>
        <v>9775</v>
      </c>
      <c r="F129" s="37">
        <v>391.0</v>
      </c>
      <c r="G129" s="36">
        <v>10.0</v>
      </c>
      <c r="H129" s="74"/>
      <c r="I129" s="74">
        <f t="shared" si="4"/>
        <v>4.1</v>
      </c>
      <c r="J129" s="48" t="s">
        <v>636</v>
      </c>
    </row>
    <row r="130">
      <c r="A130" s="76" t="s">
        <v>5</v>
      </c>
      <c r="B130" s="71" t="s">
        <v>642</v>
      </c>
      <c r="C130" s="71">
        <f t="shared" si="1"/>
        <v>43911</v>
      </c>
      <c r="D130" s="73" t="str">
        <f t="shared" si="2"/>
        <v>2020-03</v>
      </c>
      <c r="E130" s="74">
        <f t="shared" si="3"/>
        <v>32175</v>
      </c>
      <c r="F130" s="37">
        <v>1287.0</v>
      </c>
      <c r="G130" s="36">
        <v>93.0</v>
      </c>
      <c r="H130" s="74"/>
      <c r="I130" s="74">
        <f t="shared" si="4"/>
        <v>4.29</v>
      </c>
      <c r="J130" s="48" t="s">
        <v>641</v>
      </c>
    </row>
    <row r="131">
      <c r="A131" s="76" t="s">
        <v>5</v>
      </c>
      <c r="B131" s="71" t="s">
        <v>647</v>
      </c>
      <c r="C131" s="71">
        <f t="shared" si="1"/>
        <v>44456</v>
      </c>
      <c r="D131" s="73" t="str">
        <f t="shared" si="2"/>
        <v>2021-09</v>
      </c>
      <c r="E131" s="74">
        <f t="shared" si="3"/>
        <v>6725</v>
      </c>
      <c r="F131" s="37">
        <v>269.0</v>
      </c>
      <c r="G131" s="36">
        <v>6.0</v>
      </c>
      <c r="H131" s="74"/>
      <c r="I131" s="74">
        <f t="shared" si="4"/>
        <v>4.09</v>
      </c>
      <c r="J131" s="48" t="s">
        <v>646</v>
      </c>
    </row>
    <row r="132">
      <c r="A132" s="76" t="s">
        <v>5</v>
      </c>
      <c r="B132" s="71" t="s">
        <v>652</v>
      </c>
      <c r="C132" s="71">
        <f t="shared" si="1"/>
        <v>44445</v>
      </c>
      <c r="D132" s="73" t="str">
        <f t="shared" si="2"/>
        <v>2021-09</v>
      </c>
      <c r="E132" s="74">
        <f t="shared" si="3"/>
        <v>14525</v>
      </c>
      <c r="F132" s="37">
        <v>581.0</v>
      </c>
      <c r="G132" s="36">
        <v>48.0</v>
      </c>
      <c r="H132" s="74"/>
      <c r="I132" s="74">
        <f t="shared" si="4"/>
        <v>4.33</v>
      </c>
      <c r="J132" s="48" t="s">
        <v>651</v>
      </c>
    </row>
    <row r="133">
      <c r="A133" s="76" t="s">
        <v>5</v>
      </c>
      <c r="B133" s="71" t="s">
        <v>656</v>
      </c>
      <c r="C133" s="71">
        <f t="shared" si="1"/>
        <v>44855</v>
      </c>
      <c r="D133" s="73" t="str">
        <f t="shared" si="2"/>
        <v>2022-10</v>
      </c>
      <c r="E133" s="74">
        <f t="shared" si="3"/>
        <v>9325</v>
      </c>
      <c r="F133" s="37">
        <v>373.0</v>
      </c>
      <c r="G133" s="36">
        <v>5.0</v>
      </c>
      <c r="H133" s="74"/>
      <c r="I133" s="74">
        <f t="shared" si="4"/>
        <v>4.05</v>
      </c>
      <c r="J133" s="48" t="s">
        <v>655</v>
      </c>
    </row>
    <row r="134">
      <c r="A134" s="76" t="s">
        <v>5</v>
      </c>
      <c r="B134" s="71" t="s">
        <v>661</v>
      </c>
      <c r="C134" s="71">
        <f t="shared" si="1"/>
        <v>44628</v>
      </c>
      <c r="D134" s="73" t="str">
        <f t="shared" si="2"/>
        <v>2022-03</v>
      </c>
      <c r="E134" s="74">
        <f t="shared" si="3"/>
        <v>6125</v>
      </c>
      <c r="F134" s="37">
        <v>245.0</v>
      </c>
      <c r="G134" s="36">
        <v>2.0</v>
      </c>
      <c r="H134" s="74"/>
      <c r="I134" s="74">
        <f t="shared" si="4"/>
        <v>4.03</v>
      </c>
      <c r="J134" s="48" t="s">
        <v>660</v>
      </c>
    </row>
    <row r="135">
      <c r="A135" s="76" t="s">
        <v>5</v>
      </c>
      <c r="B135" s="71" t="s">
        <v>666</v>
      </c>
      <c r="C135" s="71">
        <f t="shared" si="1"/>
        <v>44501</v>
      </c>
      <c r="D135" s="73" t="str">
        <f t="shared" si="2"/>
        <v>2021-11</v>
      </c>
      <c r="E135" s="74">
        <f t="shared" si="3"/>
        <v>7425</v>
      </c>
      <c r="F135" s="37">
        <v>297.0</v>
      </c>
      <c r="G135" s="36">
        <v>8.0</v>
      </c>
      <c r="H135" s="74"/>
      <c r="I135" s="74">
        <f t="shared" si="4"/>
        <v>4.11</v>
      </c>
      <c r="J135" s="48" t="s">
        <v>665</v>
      </c>
    </row>
    <row r="136">
      <c r="A136" s="76" t="s">
        <v>5</v>
      </c>
      <c r="B136" s="71" t="s">
        <v>671</v>
      </c>
      <c r="C136" s="71">
        <f t="shared" si="1"/>
        <v>44464</v>
      </c>
      <c r="D136" s="73" t="str">
        <f t="shared" si="2"/>
        <v>2021-09</v>
      </c>
      <c r="E136" s="74">
        <f t="shared" si="3"/>
        <v>9700</v>
      </c>
      <c r="F136" s="37">
        <v>388.0</v>
      </c>
      <c r="G136" s="36">
        <v>15.0</v>
      </c>
      <c r="H136" s="74"/>
      <c r="I136" s="74">
        <f t="shared" si="4"/>
        <v>4.15</v>
      </c>
      <c r="J136" s="48" t="s">
        <v>670</v>
      </c>
    </row>
    <row r="137">
      <c r="A137" s="76" t="s">
        <v>9</v>
      </c>
      <c r="B137" s="71" t="s">
        <v>682</v>
      </c>
      <c r="C137" s="71">
        <f t="shared" si="1"/>
        <v>45862</v>
      </c>
      <c r="D137" s="73" t="str">
        <f t="shared" si="2"/>
        <v>2025-07</v>
      </c>
      <c r="E137" s="74">
        <f t="shared" ref="E137:E189" si="5">ROUND(F2/0.025, 0)</f>
        <v>3520</v>
      </c>
      <c r="F137" s="37">
        <v>102.0</v>
      </c>
      <c r="G137" s="36">
        <v>2.0</v>
      </c>
      <c r="H137" s="36">
        <v>0.0</v>
      </c>
      <c r="I137" s="74">
        <f t="shared" si="4"/>
        <v>2.95</v>
      </c>
      <c r="J137" s="48" t="s">
        <v>680</v>
      </c>
    </row>
    <row r="138">
      <c r="A138" s="76" t="s">
        <v>9</v>
      </c>
      <c r="B138" s="71" t="s">
        <v>687</v>
      </c>
      <c r="C138" s="71">
        <f t="shared" si="1"/>
        <v>45855</v>
      </c>
      <c r="D138" s="73" t="str">
        <f t="shared" si="2"/>
        <v>2025-07</v>
      </c>
      <c r="E138" s="74">
        <f t="shared" si="5"/>
        <v>5040</v>
      </c>
      <c r="F138" s="37">
        <v>150.0</v>
      </c>
      <c r="G138" s="36">
        <v>1.0</v>
      </c>
      <c r="H138" s="36">
        <v>0.0</v>
      </c>
      <c r="I138" s="74">
        <f t="shared" si="4"/>
        <v>3</v>
      </c>
      <c r="J138" s="48" t="s">
        <v>685</v>
      </c>
    </row>
    <row r="139">
      <c r="A139" s="76" t="s">
        <v>9</v>
      </c>
      <c r="B139" s="71" t="s">
        <v>692</v>
      </c>
      <c r="C139" s="71">
        <f t="shared" si="1"/>
        <v>45853</v>
      </c>
      <c r="D139" s="73" t="str">
        <f t="shared" si="2"/>
        <v>2025-07</v>
      </c>
      <c r="E139" s="74">
        <f t="shared" si="5"/>
        <v>4680</v>
      </c>
      <c r="F139" s="37">
        <v>83.0</v>
      </c>
      <c r="G139" s="36">
        <v>0.0</v>
      </c>
      <c r="H139" s="36">
        <v>0.0</v>
      </c>
      <c r="I139" s="74">
        <f t="shared" si="4"/>
        <v>1.77</v>
      </c>
      <c r="J139" s="48" t="s">
        <v>690</v>
      </c>
    </row>
    <row r="140">
      <c r="A140" s="76" t="s">
        <v>9</v>
      </c>
      <c r="B140" s="71" t="s">
        <v>695</v>
      </c>
      <c r="C140" s="71">
        <f t="shared" si="1"/>
        <v>45876</v>
      </c>
      <c r="D140" s="73" t="str">
        <f t="shared" si="2"/>
        <v>2025-08</v>
      </c>
      <c r="E140" s="74">
        <f t="shared" si="5"/>
        <v>3920</v>
      </c>
      <c r="F140" s="37">
        <v>177.0</v>
      </c>
      <c r="G140" s="36">
        <v>1.0</v>
      </c>
      <c r="H140" s="36">
        <v>3.0</v>
      </c>
      <c r="I140" s="74">
        <f t="shared" si="4"/>
        <v>4.62</v>
      </c>
      <c r="J140" s="48" t="s">
        <v>693</v>
      </c>
    </row>
    <row r="141">
      <c r="A141" s="76" t="s">
        <v>9</v>
      </c>
      <c r="B141" s="71" t="s">
        <v>699</v>
      </c>
      <c r="C141" s="71">
        <f t="shared" si="1"/>
        <v>45876</v>
      </c>
      <c r="D141" s="73" t="str">
        <f t="shared" si="2"/>
        <v>2025-08</v>
      </c>
      <c r="E141" s="74">
        <f t="shared" si="5"/>
        <v>6160</v>
      </c>
      <c r="F141" s="37">
        <v>118.0</v>
      </c>
      <c r="G141" s="36">
        <v>1.0</v>
      </c>
      <c r="H141" s="36">
        <v>1.0</v>
      </c>
      <c r="I141" s="74">
        <f t="shared" si="4"/>
        <v>1.95</v>
      </c>
      <c r="J141" s="48" t="s">
        <v>697</v>
      </c>
    </row>
    <row r="142">
      <c r="A142" s="76" t="s">
        <v>9</v>
      </c>
      <c r="B142" s="71" t="s">
        <v>703</v>
      </c>
      <c r="C142" s="71">
        <f t="shared" si="1"/>
        <v>45876</v>
      </c>
      <c r="D142" s="73" t="str">
        <f t="shared" si="2"/>
        <v>2025-08</v>
      </c>
      <c r="E142" s="74">
        <f t="shared" si="5"/>
        <v>7160</v>
      </c>
      <c r="F142" s="37">
        <v>61.0</v>
      </c>
      <c r="G142" s="36">
        <v>0.0</v>
      </c>
      <c r="H142" s="36">
        <v>1.0</v>
      </c>
      <c r="I142" s="74">
        <f t="shared" si="4"/>
        <v>0.87</v>
      </c>
      <c r="J142" s="48" t="s">
        <v>701</v>
      </c>
    </row>
    <row r="143">
      <c r="A143" s="76" t="s">
        <v>9</v>
      </c>
      <c r="B143" s="71" t="s">
        <v>706</v>
      </c>
      <c r="C143" s="71">
        <f t="shared" si="1"/>
        <v>45870</v>
      </c>
      <c r="D143" s="73" t="str">
        <f t="shared" si="2"/>
        <v>2025-08</v>
      </c>
      <c r="E143" s="74">
        <f t="shared" si="5"/>
        <v>4520</v>
      </c>
      <c r="F143" s="37">
        <v>85.0</v>
      </c>
      <c r="G143" s="36">
        <v>0.0</v>
      </c>
      <c r="H143" s="36">
        <v>1.0</v>
      </c>
      <c r="I143" s="74">
        <f t="shared" si="4"/>
        <v>1.9</v>
      </c>
      <c r="J143" s="48" t="s">
        <v>704</v>
      </c>
    </row>
    <row r="144">
      <c r="A144" s="76" t="s">
        <v>9</v>
      </c>
      <c r="B144" s="71" t="s">
        <v>710</v>
      </c>
      <c r="C144" s="71">
        <f t="shared" si="1"/>
        <v>45870</v>
      </c>
      <c r="D144" s="73" t="str">
        <f t="shared" si="2"/>
        <v>2025-08</v>
      </c>
      <c r="E144" s="74">
        <f t="shared" si="5"/>
        <v>9960</v>
      </c>
      <c r="F144" s="37">
        <v>78.0</v>
      </c>
      <c r="G144" s="36">
        <v>0.0</v>
      </c>
      <c r="H144" s="36">
        <v>1.0</v>
      </c>
      <c r="I144" s="74">
        <f t="shared" si="4"/>
        <v>0.79</v>
      </c>
      <c r="J144" s="48" t="s">
        <v>708</v>
      </c>
    </row>
    <row r="145">
      <c r="A145" s="76" t="s">
        <v>9</v>
      </c>
      <c r="B145" s="71" t="s">
        <v>713</v>
      </c>
      <c r="C145" s="71">
        <f t="shared" si="1"/>
        <v>45869</v>
      </c>
      <c r="D145" s="73" t="str">
        <f t="shared" si="2"/>
        <v>2025-07</v>
      </c>
      <c r="E145" s="74">
        <f t="shared" si="5"/>
        <v>7960</v>
      </c>
      <c r="F145" s="37">
        <v>121.0</v>
      </c>
      <c r="G145" s="36">
        <v>1.0</v>
      </c>
      <c r="H145" s="36">
        <v>1.0</v>
      </c>
      <c r="I145" s="74">
        <f t="shared" si="4"/>
        <v>1.55</v>
      </c>
      <c r="J145" s="48" t="s">
        <v>711</v>
      </c>
    </row>
    <row r="146">
      <c r="A146" s="76" t="s">
        <v>9</v>
      </c>
      <c r="B146" s="71" t="s">
        <v>717</v>
      </c>
      <c r="C146" s="71">
        <f t="shared" si="1"/>
        <v>45869</v>
      </c>
      <c r="D146" s="73" t="str">
        <f t="shared" si="2"/>
        <v>2025-07</v>
      </c>
      <c r="E146" s="74">
        <f t="shared" si="5"/>
        <v>4480</v>
      </c>
      <c r="F146" s="37">
        <v>73.0</v>
      </c>
      <c r="G146" s="36">
        <v>0.0</v>
      </c>
      <c r="H146" s="36">
        <v>1.0</v>
      </c>
      <c r="I146" s="74">
        <f t="shared" si="4"/>
        <v>1.65</v>
      </c>
      <c r="J146" s="48" t="s">
        <v>715</v>
      </c>
    </row>
    <row r="147">
      <c r="A147" s="76" t="s">
        <v>9</v>
      </c>
      <c r="B147" s="71" t="s">
        <v>721</v>
      </c>
      <c r="C147" s="71">
        <f t="shared" si="1"/>
        <v>45869</v>
      </c>
      <c r="D147" s="73" t="str">
        <f t="shared" si="2"/>
        <v>2025-07</v>
      </c>
      <c r="E147" s="74">
        <f t="shared" si="5"/>
        <v>3560</v>
      </c>
      <c r="F147" s="37">
        <v>129.0</v>
      </c>
      <c r="G147" s="36">
        <v>1.0</v>
      </c>
      <c r="H147" s="36">
        <v>0.0</v>
      </c>
      <c r="I147" s="74">
        <f t="shared" si="4"/>
        <v>3.65</v>
      </c>
      <c r="J147" s="48" t="s">
        <v>719</v>
      </c>
    </row>
    <row r="148">
      <c r="A148" s="76" t="s">
        <v>9</v>
      </c>
      <c r="B148" s="71" t="s">
        <v>725</v>
      </c>
      <c r="C148" s="71">
        <f t="shared" si="1"/>
        <v>45863</v>
      </c>
      <c r="D148" s="73" t="str">
        <f t="shared" si="2"/>
        <v>2025-07</v>
      </c>
      <c r="E148" s="74">
        <f t="shared" si="5"/>
        <v>4200</v>
      </c>
      <c r="F148" s="37">
        <v>138.0</v>
      </c>
      <c r="G148" s="36">
        <v>1.0</v>
      </c>
      <c r="H148" s="36">
        <v>1.0</v>
      </c>
      <c r="I148" s="74">
        <f t="shared" si="4"/>
        <v>3.33</v>
      </c>
      <c r="J148" s="48" t="s">
        <v>723</v>
      </c>
    </row>
    <row r="149">
      <c r="A149" s="76" t="s">
        <v>9</v>
      </c>
      <c r="B149" s="71" t="s">
        <v>729</v>
      </c>
      <c r="C149" s="71">
        <f t="shared" si="1"/>
        <v>45862</v>
      </c>
      <c r="D149" s="73" t="str">
        <f t="shared" si="2"/>
        <v>2025-07</v>
      </c>
      <c r="E149" s="74">
        <f t="shared" si="5"/>
        <v>12640</v>
      </c>
      <c r="F149" s="37">
        <v>130.0</v>
      </c>
      <c r="G149" s="36">
        <v>2.0</v>
      </c>
      <c r="H149" s="36">
        <v>1.0</v>
      </c>
      <c r="I149" s="74">
        <f t="shared" si="4"/>
        <v>1.05</v>
      </c>
      <c r="J149" s="48" t="s">
        <v>727</v>
      </c>
    </row>
    <row r="150">
      <c r="A150" s="76" t="s">
        <v>9</v>
      </c>
      <c r="B150" s="71" t="s">
        <v>733</v>
      </c>
      <c r="C150" s="71">
        <f t="shared" si="1"/>
        <v>45916</v>
      </c>
      <c r="D150" s="73" t="str">
        <f t="shared" si="2"/>
        <v>2025-09</v>
      </c>
      <c r="E150" s="74">
        <f t="shared" si="5"/>
        <v>5520</v>
      </c>
      <c r="F150" s="37">
        <v>154.0</v>
      </c>
      <c r="G150" s="36">
        <v>0.0</v>
      </c>
      <c r="H150" s="36">
        <v>2.0</v>
      </c>
      <c r="I150" s="74">
        <f t="shared" si="4"/>
        <v>2.83</v>
      </c>
      <c r="J150" s="48" t="s">
        <v>731</v>
      </c>
    </row>
    <row r="151">
      <c r="A151" s="76" t="s">
        <v>9</v>
      </c>
      <c r="B151" s="71" t="s">
        <v>736</v>
      </c>
      <c r="C151" s="71">
        <f t="shared" si="1"/>
        <v>45910</v>
      </c>
      <c r="D151" s="73" t="str">
        <f t="shared" si="2"/>
        <v>2025-09</v>
      </c>
      <c r="E151" s="74">
        <f t="shared" si="5"/>
        <v>8720</v>
      </c>
      <c r="F151" s="37">
        <v>180.0</v>
      </c>
      <c r="G151" s="36">
        <v>6.0</v>
      </c>
      <c r="H151" s="36">
        <v>11.0</v>
      </c>
      <c r="I151" s="74">
        <f t="shared" si="4"/>
        <v>2.26</v>
      </c>
      <c r="J151" s="48" t="s">
        <v>734</v>
      </c>
    </row>
    <row r="152">
      <c r="A152" s="76" t="s">
        <v>9</v>
      </c>
      <c r="B152" s="71" t="s">
        <v>739</v>
      </c>
      <c r="C152" s="71">
        <f t="shared" si="1"/>
        <v>45909</v>
      </c>
      <c r="D152" s="73" t="str">
        <f t="shared" si="2"/>
        <v>2025-09</v>
      </c>
      <c r="E152" s="74">
        <f t="shared" si="5"/>
        <v>6480</v>
      </c>
      <c r="F152" s="37">
        <v>324.0</v>
      </c>
      <c r="G152" s="36">
        <v>20.0</v>
      </c>
      <c r="H152" s="36">
        <v>14.0</v>
      </c>
      <c r="I152" s="74">
        <f t="shared" si="4"/>
        <v>5.52</v>
      </c>
      <c r="J152" s="48" t="s">
        <v>737</v>
      </c>
    </row>
    <row r="153">
      <c r="A153" s="76" t="s">
        <v>9</v>
      </c>
      <c r="B153" s="71" t="s">
        <v>742</v>
      </c>
      <c r="C153" s="71">
        <f t="shared" si="1"/>
        <v>45908</v>
      </c>
      <c r="D153" s="73" t="str">
        <f t="shared" si="2"/>
        <v>2025-09</v>
      </c>
      <c r="E153" s="74">
        <f t="shared" si="5"/>
        <v>4320</v>
      </c>
      <c r="F153" s="37">
        <v>164.0</v>
      </c>
      <c r="G153" s="36">
        <v>0.0</v>
      </c>
      <c r="H153" s="36">
        <v>2.0</v>
      </c>
      <c r="I153" s="74">
        <f t="shared" si="4"/>
        <v>3.84</v>
      </c>
      <c r="J153" s="48" t="s">
        <v>740</v>
      </c>
    </row>
    <row r="154">
      <c r="A154" s="76" t="s">
        <v>9</v>
      </c>
      <c r="B154" s="71" t="s">
        <v>745</v>
      </c>
      <c r="C154" s="71">
        <f t="shared" si="1"/>
        <v>45900</v>
      </c>
      <c r="D154" s="73" t="str">
        <f t="shared" si="2"/>
        <v>2025-08</v>
      </c>
      <c r="E154" s="74">
        <f t="shared" si="5"/>
        <v>6680</v>
      </c>
      <c r="F154" s="37">
        <v>142.0</v>
      </c>
      <c r="G154" s="36">
        <v>3.0</v>
      </c>
      <c r="H154" s="36">
        <v>8.0</v>
      </c>
      <c r="I154" s="74">
        <f t="shared" si="4"/>
        <v>2.29</v>
      </c>
      <c r="J154" s="48" t="s">
        <v>743</v>
      </c>
    </row>
    <row r="155">
      <c r="A155" s="76" t="s">
        <v>9</v>
      </c>
      <c r="B155" s="71" t="s">
        <v>748</v>
      </c>
      <c r="C155" s="71">
        <f t="shared" si="1"/>
        <v>45895</v>
      </c>
      <c r="D155" s="73" t="str">
        <f t="shared" si="2"/>
        <v>2025-08</v>
      </c>
      <c r="E155" s="74">
        <f t="shared" si="5"/>
        <v>2480</v>
      </c>
      <c r="F155" s="37">
        <v>150.0</v>
      </c>
      <c r="G155" s="36">
        <v>0.0</v>
      </c>
      <c r="H155" s="36">
        <v>5.0</v>
      </c>
      <c r="I155" s="74">
        <f t="shared" si="4"/>
        <v>6.25</v>
      </c>
      <c r="J155" s="48" t="s">
        <v>746</v>
      </c>
    </row>
    <row r="156">
      <c r="A156" s="76" t="s">
        <v>9</v>
      </c>
      <c r="B156" s="71" t="s">
        <v>751</v>
      </c>
      <c r="C156" s="71">
        <f t="shared" si="1"/>
        <v>45890</v>
      </c>
      <c r="D156" s="73" t="str">
        <f t="shared" si="2"/>
        <v>2025-08</v>
      </c>
      <c r="E156" s="74">
        <f t="shared" si="5"/>
        <v>3160</v>
      </c>
      <c r="F156" s="37">
        <v>110.0</v>
      </c>
      <c r="G156" s="36">
        <v>0.0</v>
      </c>
      <c r="H156" s="36">
        <v>0.0</v>
      </c>
      <c r="I156" s="74">
        <f t="shared" si="4"/>
        <v>3.48</v>
      </c>
      <c r="J156" s="48" t="s">
        <v>749</v>
      </c>
    </row>
    <row r="157">
      <c r="A157" s="76" t="s">
        <v>9</v>
      </c>
      <c r="B157" s="71" t="s">
        <v>755</v>
      </c>
      <c r="C157" s="71">
        <f t="shared" si="1"/>
        <v>45890</v>
      </c>
      <c r="D157" s="73" t="str">
        <f t="shared" si="2"/>
        <v>2025-08</v>
      </c>
      <c r="E157" s="74">
        <f t="shared" si="5"/>
        <v>2440</v>
      </c>
      <c r="F157" s="37">
        <v>116.0</v>
      </c>
      <c r="G157" s="36">
        <v>1.0</v>
      </c>
      <c r="H157" s="36">
        <v>2.0</v>
      </c>
      <c r="I157" s="74">
        <f t="shared" si="4"/>
        <v>4.88</v>
      </c>
      <c r="J157" s="48" t="s">
        <v>753</v>
      </c>
    </row>
    <row r="158">
      <c r="A158" s="76" t="s">
        <v>9</v>
      </c>
      <c r="B158" s="71" t="s">
        <v>759</v>
      </c>
      <c r="C158" s="71">
        <f t="shared" si="1"/>
        <v>45890</v>
      </c>
      <c r="D158" s="73" t="str">
        <f t="shared" si="2"/>
        <v>2025-08</v>
      </c>
      <c r="E158" s="74">
        <f t="shared" si="5"/>
        <v>3680</v>
      </c>
      <c r="F158" s="37">
        <v>117.0</v>
      </c>
      <c r="G158" s="36">
        <v>2.0</v>
      </c>
      <c r="H158" s="36">
        <v>0.0</v>
      </c>
      <c r="I158" s="74">
        <f t="shared" si="4"/>
        <v>3.23</v>
      </c>
      <c r="J158" s="48" t="s">
        <v>757</v>
      </c>
    </row>
    <row r="159">
      <c r="A159" s="76" t="s">
        <v>9</v>
      </c>
      <c r="B159" s="71" t="s">
        <v>763</v>
      </c>
      <c r="C159" s="71">
        <f t="shared" si="1"/>
        <v>45876</v>
      </c>
      <c r="D159" s="73" t="str">
        <f t="shared" si="2"/>
        <v>2025-08</v>
      </c>
      <c r="E159" s="74">
        <f t="shared" si="5"/>
        <v>5520</v>
      </c>
      <c r="F159" s="37">
        <v>71.0</v>
      </c>
      <c r="G159" s="36">
        <v>0.0</v>
      </c>
      <c r="H159" s="36">
        <v>1.0</v>
      </c>
      <c r="I159" s="74">
        <f t="shared" si="4"/>
        <v>1.3</v>
      </c>
      <c r="J159" s="48" t="s">
        <v>761</v>
      </c>
    </row>
    <row r="160">
      <c r="A160" s="76" t="s">
        <v>9</v>
      </c>
      <c r="B160" s="71" t="s">
        <v>767</v>
      </c>
      <c r="C160" s="71">
        <f t="shared" si="1"/>
        <v>45999</v>
      </c>
      <c r="D160" s="73" t="str">
        <f t="shared" si="2"/>
        <v>2025-12</v>
      </c>
      <c r="E160" s="74">
        <f t="shared" si="5"/>
        <v>3760</v>
      </c>
      <c r="F160" s="37">
        <v>60.0</v>
      </c>
      <c r="G160" s="36">
        <v>1.0</v>
      </c>
      <c r="H160" s="36">
        <v>2.0</v>
      </c>
      <c r="I160" s="74">
        <f t="shared" si="4"/>
        <v>1.68</v>
      </c>
      <c r="J160" s="48" t="s">
        <v>765</v>
      </c>
    </row>
    <row r="161">
      <c r="A161" s="76" t="s">
        <v>9</v>
      </c>
      <c r="B161" s="71" t="s">
        <v>770</v>
      </c>
      <c r="C161" s="71">
        <f t="shared" si="1"/>
        <v>45988</v>
      </c>
      <c r="D161" s="73" t="str">
        <f t="shared" si="2"/>
        <v>2025-11</v>
      </c>
      <c r="E161" s="74">
        <f t="shared" si="5"/>
        <v>5840</v>
      </c>
      <c r="F161" s="37">
        <v>90.0</v>
      </c>
      <c r="G161" s="36">
        <v>0.0</v>
      </c>
      <c r="H161" s="36">
        <v>0.0</v>
      </c>
      <c r="I161" s="74">
        <f t="shared" si="4"/>
        <v>1.54</v>
      </c>
      <c r="J161" s="48" t="s">
        <v>768</v>
      </c>
    </row>
    <row r="162">
      <c r="A162" s="76" t="s">
        <v>9</v>
      </c>
      <c r="B162" s="71" t="s">
        <v>773</v>
      </c>
      <c r="C162" s="71">
        <f t="shared" si="1"/>
        <v>45981</v>
      </c>
      <c r="D162" s="73" t="str">
        <f t="shared" si="2"/>
        <v>2025-11</v>
      </c>
      <c r="E162" s="74">
        <f t="shared" si="5"/>
        <v>5160</v>
      </c>
      <c r="F162" s="37">
        <v>35.0</v>
      </c>
      <c r="G162" s="36">
        <v>0.0</v>
      </c>
      <c r="H162" s="36">
        <v>0.0</v>
      </c>
      <c r="I162" s="74">
        <f t="shared" si="4"/>
        <v>0.68</v>
      </c>
      <c r="J162" s="48" t="s">
        <v>771</v>
      </c>
    </row>
    <row r="163">
      <c r="A163" s="76" t="s">
        <v>9</v>
      </c>
      <c r="B163" s="71" t="s">
        <v>775</v>
      </c>
      <c r="C163" s="71">
        <f t="shared" si="1"/>
        <v>45978</v>
      </c>
      <c r="D163" s="73" t="str">
        <f t="shared" si="2"/>
        <v>2025-11</v>
      </c>
      <c r="E163" s="74">
        <f t="shared" si="5"/>
        <v>6280</v>
      </c>
      <c r="F163" s="37">
        <v>185.0</v>
      </c>
      <c r="G163" s="36">
        <v>3.0</v>
      </c>
      <c r="H163" s="36">
        <v>1.0</v>
      </c>
      <c r="I163" s="74">
        <f t="shared" si="4"/>
        <v>3.01</v>
      </c>
      <c r="J163" s="48" t="s">
        <v>774</v>
      </c>
    </row>
    <row r="164">
      <c r="A164" s="76" t="s">
        <v>9</v>
      </c>
      <c r="B164" s="71" t="s">
        <v>778</v>
      </c>
      <c r="C164" s="71">
        <f t="shared" si="1"/>
        <v>45966</v>
      </c>
      <c r="D164" s="73" t="str">
        <f t="shared" si="2"/>
        <v>2025-11</v>
      </c>
      <c r="E164" s="74">
        <f t="shared" si="5"/>
        <v>10880</v>
      </c>
      <c r="F164" s="37">
        <v>38.0</v>
      </c>
      <c r="G164" s="36">
        <v>0.0</v>
      </c>
      <c r="H164" s="36">
        <v>0.0</v>
      </c>
      <c r="I164" s="74">
        <f t="shared" si="4"/>
        <v>0.35</v>
      </c>
      <c r="J164" s="48" t="s">
        <v>776</v>
      </c>
    </row>
    <row r="165">
      <c r="A165" s="76" t="s">
        <v>9</v>
      </c>
      <c r="B165" s="71" t="s">
        <v>781</v>
      </c>
      <c r="C165" s="71">
        <f t="shared" si="1"/>
        <v>45965</v>
      </c>
      <c r="D165" s="73" t="str">
        <f t="shared" si="2"/>
        <v>2025-11</v>
      </c>
      <c r="E165" s="74">
        <f t="shared" si="5"/>
        <v>3920</v>
      </c>
      <c r="F165" s="37">
        <v>229.0</v>
      </c>
      <c r="G165" s="36">
        <v>0.0</v>
      </c>
      <c r="H165" s="36">
        <v>2.0</v>
      </c>
      <c r="I165" s="74">
        <f t="shared" si="4"/>
        <v>5.89</v>
      </c>
      <c r="J165" s="48" t="s">
        <v>779</v>
      </c>
    </row>
    <row r="166">
      <c r="A166" s="76" t="s">
        <v>9</v>
      </c>
      <c r="B166" s="71" t="s">
        <v>783</v>
      </c>
      <c r="C166" s="71">
        <f t="shared" si="1"/>
        <v>45962</v>
      </c>
      <c r="D166" s="73" t="str">
        <f t="shared" si="2"/>
        <v>2025-11</v>
      </c>
      <c r="E166" s="74">
        <f t="shared" si="5"/>
        <v>6040</v>
      </c>
      <c r="F166" s="37">
        <v>192.0</v>
      </c>
      <c r="G166" s="36">
        <v>0.0</v>
      </c>
      <c r="H166" s="36">
        <v>0.0</v>
      </c>
      <c r="I166" s="74">
        <f t="shared" si="4"/>
        <v>3.18</v>
      </c>
      <c r="J166" s="48" t="s">
        <v>782</v>
      </c>
    </row>
    <row r="167">
      <c r="A167" s="76" t="s">
        <v>9</v>
      </c>
      <c r="B167" s="71" t="s">
        <v>785</v>
      </c>
      <c r="C167" s="71">
        <f t="shared" si="1"/>
        <v>45947</v>
      </c>
      <c r="D167" s="73" t="str">
        <f t="shared" si="2"/>
        <v>2025-10</v>
      </c>
      <c r="E167" s="74">
        <f t="shared" si="5"/>
        <v>8480</v>
      </c>
      <c r="F167" s="37">
        <v>379.0</v>
      </c>
      <c r="G167" s="36">
        <v>2.0</v>
      </c>
      <c r="H167" s="36">
        <v>1.0</v>
      </c>
      <c r="I167" s="74">
        <f t="shared" si="4"/>
        <v>4.5</v>
      </c>
      <c r="J167" s="48" t="s">
        <v>784</v>
      </c>
    </row>
    <row r="168">
      <c r="A168" s="76" t="s">
        <v>9</v>
      </c>
      <c r="B168" s="71" t="s">
        <v>788</v>
      </c>
      <c r="C168" s="71">
        <f t="shared" si="1"/>
        <v>45947</v>
      </c>
      <c r="D168" s="73" t="str">
        <f t="shared" si="2"/>
        <v>2025-10</v>
      </c>
      <c r="E168" s="74">
        <f t="shared" si="5"/>
        <v>4680</v>
      </c>
      <c r="F168" s="37">
        <v>37.0</v>
      </c>
      <c r="G168" s="36">
        <v>0.0</v>
      </c>
      <c r="H168" s="36">
        <v>0.0</v>
      </c>
      <c r="I168" s="74">
        <f t="shared" si="4"/>
        <v>0.79</v>
      </c>
      <c r="J168" s="48" t="s">
        <v>786</v>
      </c>
    </row>
    <row r="169">
      <c r="A169" s="76" t="s">
        <v>9</v>
      </c>
      <c r="B169" s="71" t="s">
        <v>790</v>
      </c>
      <c r="C169" s="71">
        <f t="shared" si="1"/>
        <v>45926</v>
      </c>
      <c r="D169" s="73" t="str">
        <f t="shared" si="2"/>
        <v>2025-09</v>
      </c>
      <c r="E169" s="74">
        <f t="shared" si="5"/>
        <v>2000</v>
      </c>
      <c r="F169" s="37">
        <v>244.0</v>
      </c>
      <c r="G169" s="36">
        <v>2.0</v>
      </c>
      <c r="H169" s="36">
        <v>0.0</v>
      </c>
      <c r="I169" s="74">
        <f t="shared" si="4"/>
        <v>12.3</v>
      </c>
      <c r="J169" s="48" t="s">
        <v>789</v>
      </c>
    </row>
    <row r="170">
      <c r="A170" s="76" t="s">
        <v>9</v>
      </c>
      <c r="B170" s="71" t="s">
        <v>793</v>
      </c>
      <c r="C170" s="71">
        <f t="shared" si="1"/>
        <v>46098</v>
      </c>
      <c r="D170" s="73" t="str">
        <f t="shared" si="2"/>
        <v>2026-03</v>
      </c>
      <c r="E170" s="74">
        <f t="shared" si="5"/>
        <v>2280</v>
      </c>
      <c r="F170" s="37">
        <v>45.0</v>
      </c>
      <c r="G170" s="36">
        <v>0.0</v>
      </c>
      <c r="H170" s="36">
        <v>0.0</v>
      </c>
      <c r="I170" s="74">
        <f t="shared" si="4"/>
        <v>1.97</v>
      </c>
      <c r="J170" s="48" t="s">
        <v>791</v>
      </c>
    </row>
    <row r="171">
      <c r="A171" s="76" t="s">
        <v>9</v>
      </c>
      <c r="B171" s="71" t="s">
        <v>796</v>
      </c>
      <c r="C171" s="71">
        <f t="shared" si="1"/>
        <v>46097</v>
      </c>
      <c r="D171" s="73" t="str">
        <f t="shared" si="2"/>
        <v>2026-03</v>
      </c>
      <c r="E171" s="74">
        <f t="shared" si="5"/>
        <v>4280</v>
      </c>
      <c r="F171" s="37">
        <v>90.0</v>
      </c>
      <c r="G171" s="36">
        <v>0.0</v>
      </c>
      <c r="H171" s="36">
        <v>0.0</v>
      </c>
      <c r="I171" s="74">
        <f t="shared" si="4"/>
        <v>2.1</v>
      </c>
      <c r="J171" s="48" t="s">
        <v>794</v>
      </c>
    </row>
    <row r="172">
      <c r="A172" s="76" t="s">
        <v>9</v>
      </c>
      <c r="B172" s="71" t="s">
        <v>799</v>
      </c>
      <c r="C172" s="71">
        <f t="shared" si="1"/>
        <v>46069</v>
      </c>
      <c r="D172" s="73" t="str">
        <f t="shared" si="2"/>
        <v>2026-02</v>
      </c>
      <c r="E172" s="74">
        <f t="shared" si="5"/>
        <v>4120</v>
      </c>
      <c r="F172" s="37">
        <v>82.0</v>
      </c>
      <c r="G172" s="36">
        <v>2.0</v>
      </c>
      <c r="H172" s="36">
        <v>2.0</v>
      </c>
      <c r="I172" s="74">
        <f t="shared" si="4"/>
        <v>2.09</v>
      </c>
      <c r="J172" s="48" t="s">
        <v>797</v>
      </c>
    </row>
    <row r="173">
      <c r="A173" s="76" t="s">
        <v>9</v>
      </c>
      <c r="B173" s="71" t="s">
        <v>802</v>
      </c>
      <c r="C173" s="71">
        <f t="shared" si="1"/>
        <v>46064</v>
      </c>
      <c r="D173" s="73" t="str">
        <f t="shared" si="2"/>
        <v>2026-02</v>
      </c>
      <c r="E173" s="74">
        <f t="shared" si="5"/>
        <v>2720</v>
      </c>
      <c r="F173" s="37">
        <v>114.0</v>
      </c>
      <c r="G173" s="36">
        <v>4.0</v>
      </c>
      <c r="H173" s="36">
        <v>7.0</v>
      </c>
      <c r="I173" s="74">
        <f t="shared" si="4"/>
        <v>4.6</v>
      </c>
      <c r="J173" s="48" t="s">
        <v>800</v>
      </c>
    </row>
    <row r="174">
      <c r="A174" s="76" t="s">
        <v>9</v>
      </c>
      <c r="B174" s="71" t="s">
        <v>805</v>
      </c>
      <c r="C174" s="71">
        <f t="shared" si="1"/>
        <v>46063</v>
      </c>
      <c r="D174" s="73" t="str">
        <f t="shared" si="2"/>
        <v>2026-02</v>
      </c>
      <c r="E174" s="74">
        <f t="shared" si="5"/>
        <v>5600</v>
      </c>
      <c r="F174" s="37">
        <v>141.0</v>
      </c>
      <c r="G174" s="36">
        <v>1.0</v>
      </c>
      <c r="H174" s="36">
        <v>1.0</v>
      </c>
      <c r="I174" s="74">
        <f t="shared" si="4"/>
        <v>2.55</v>
      </c>
      <c r="J174" s="48" t="s">
        <v>803</v>
      </c>
    </row>
    <row r="175">
      <c r="A175" s="76" t="s">
        <v>9</v>
      </c>
      <c r="B175" s="71" t="s">
        <v>808</v>
      </c>
      <c r="C175" s="71">
        <f t="shared" si="1"/>
        <v>46059</v>
      </c>
      <c r="D175" s="73" t="str">
        <f t="shared" si="2"/>
        <v>2026-02</v>
      </c>
      <c r="E175" s="74">
        <f t="shared" si="5"/>
        <v>3200</v>
      </c>
      <c r="F175" s="37">
        <v>94.0</v>
      </c>
      <c r="G175" s="36">
        <v>0.0</v>
      </c>
      <c r="H175" s="36">
        <v>0.0</v>
      </c>
      <c r="I175" s="74">
        <f t="shared" si="4"/>
        <v>2.94</v>
      </c>
      <c r="J175" s="48" t="s">
        <v>806</v>
      </c>
    </row>
    <row r="176">
      <c r="A176" s="76" t="s">
        <v>9</v>
      </c>
      <c r="B176" s="71" t="s">
        <v>812</v>
      </c>
      <c r="C176" s="71">
        <f t="shared" si="1"/>
        <v>46045</v>
      </c>
      <c r="D176" s="73" t="str">
        <f t="shared" si="2"/>
        <v>2026-01</v>
      </c>
      <c r="E176" s="74">
        <f t="shared" si="5"/>
        <v>2680</v>
      </c>
      <c r="F176" s="37">
        <v>92.0</v>
      </c>
      <c r="G176" s="36">
        <v>0.0</v>
      </c>
      <c r="H176" s="36">
        <v>2.0</v>
      </c>
      <c r="I176" s="74">
        <f t="shared" si="4"/>
        <v>3.51</v>
      </c>
      <c r="J176" s="48" t="s">
        <v>810</v>
      </c>
    </row>
    <row r="177">
      <c r="A177" s="76" t="s">
        <v>9</v>
      </c>
      <c r="B177" s="71" t="s">
        <v>815</v>
      </c>
      <c r="C177" s="71">
        <f t="shared" si="1"/>
        <v>46016</v>
      </c>
      <c r="D177" s="73" t="str">
        <f t="shared" si="2"/>
        <v>2025-12</v>
      </c>
      <c r="E177" s="74">
        <f t="shared" si="5"/>
        <v>8880</v>
      </c>
      <c r="F177" s="37">
        <v>223.0</v>
      </c>
      <c r="G177" s="36">
        <v>0.0</v>
      </c>
      <c r="H177" s="36">
        <v>0.0</v>
      </c>
      <c r="I177" s="74">
        <f t="shared" si="4"/>
        <v>2.51</v>
      </c>
      <c r="J177" s="48" t="s">
        <v>813</v>
      </c>
    </row>
    <row r="178">
      <c r="A178" s="76" t="s">
        <v>9</v>
      </c>
      <c r="B178" s="71" t="s">
        <v>818</v>
      </c>
      <c r="C178" s="71">
        <f t="shared" si="1"/>
        <v>46003</v>
      </c>
      <c r="D178" s="73" t="str">
        <f t="shared" si="2"/>
        <v>2025-12</v>
      </c>
      <c r="E178" s="74">
        <f t="shared" si="5"/>
        <v>4720</v>
      </c>
      <c r="F178" s="37">
        <v>66.0</v>
      </c>
      <c r="G178" s="36">
        <v>0.0</v>
      </c>
      <c r="H178" s="36">
        <v>2.0</v>
      </c>
      <c r="I178" s="74">
        <f t="shared" si="4"/>
        <v>1.44</v>
      </c>
      <c r="J178" s="48" t="s">
        <v>816</v>
      </c>
    </row>
    <row r="179">
      <c r="A179" s="76" t="s">
        <v>9</v>
      </c>
      <c r="B179" s="71" t="s">
        <v>821</v>
      </c>
      <c r="C179" s="71">
        <f t="shared" si="1"/>
        <v>46001</v>
      </c>
      <c r="D179" s="73" t="str">
        <f t="shared" si="2"/>
        <v>2025-12</v>
      </c>
      <c r="E179" s="74">
        <f t="shared" si="5"/>
        <v>7680</v>
      </c>
      <c r="F179" s="37">
        <v>96.0</v>
      </c>
      <c r="G179" s="36">
        <v>2.0</v>
      </c>
      <c r="H179" s="36">
        <v>0.0</v>
      </c>
      <c r="I179" s="74">
        <f t="shared" si="4"/>
        <v>1.28</v>
      </c>
      <c r="J179" s="48" t="s">
        <v>819</v>
      </c>
    </row>
    <row r="180">
      <c r="A180" s="76" t="s">
        <v>9</v>
      </c>
      <c r="B180" s="71" t="s">
        <v>824</v>
      </c>
      <c r="C180" s="71">
        <f t="shared" si="1"/>
        <v>46150</v>
      </c>
      <c r="D180" s="73" t="str">
        <f t="shared" si="2"/>
        <v>2026-05</v>
      </c>
      <c r="E180" s="74">
        <f t="shared" si="5"/>
        <v>1760</v>
      </c>
      <c r="F180" s="37">
        <v>103.0</v>
      </c>
      <c r="G180" s="36">
        <v>5.0</v>
      </c>
      <c r="H180" s="36">
        <v>5.0</v>
      </c>
      <c r="I180" s="74">
        <f t="shared" si="4"/>
        <v>6.42</v>
      </c>
      <c r="J180" s="48" t="s">
        <v>822</v>
      </c>
    </row>
    <row r="181">
      <c r="A181" s="76" t="s">
        <v>9</v>
      </c>
      <c r="B181" s="71" t="s">
        <v>827</v>
      </c>
      <c r="C181" s="71">
        <f t="shared" si="1"/>
        <v>46149</v>
      </c>
      <c r="D181" s="73" t="str">
        <f t="shared" si="2"/>
        <v>2026-05</v>
      </c>
      <c r="E181" s="74">
        <f t="shared" si="5"/>
        <v>2640</v>
      </c>
      <c r="F181" s="37">
        <v>50.0</v>
      </c>
      <c r="G181" s="36">
        <v>0.0</v>
      </c>
      <c r="H181" s="36">
        <v>8.0</v>
      </c>
      <c r="I181" s="74">
        <f t="shared" si="4"/>
        <v>2.2</v>
      </c>
      <c r="J181" s="48" t="s">
        <v>825</v>
      </c>
    </row>
    <row r="182">
      <c r="A182" s="76" t="s">
        <v>9</v>
      </c>
      <c r="B182" s="71" t="s">
        <v>830</v>
      </c>
      <c r="C182" s="71">
        <f t="shared" si="1"/>
        <v>46141</v>
      </c>
      <c r="D182" s="73" t="str">
        <f t="shared" si="2"/>
        <v>2026-04</v>
      </c>
      <c r="E182" s="74">
        <f t="shared" si="5"/>
        <v>3280</v>
      </c>
      <c r="F182" s="37">
        <v>112.0</v>
      </c>
      <c r="G182" s="36">
        <v>3.0</v>
      </c>
      <c r="H182" s="36">
        <v>5.0</v>
      </c>
      <c r="I182" s="74">
        <f t="shared" si="4"/>
        <v>3.66</v>
      </c>
      <c r="J182" s="48" t="s">
        <v>828</v>
      </c>
    </row>
    <row r="183">
      <c r="A183" s="76" t="s">
        <v>9</v>
      </c>
      <c r="B183" s="71" t="s">
        <v>833</v>
      </c>
      <c r="C183" s="71">
        <f t="shared" si="1"/>
        <v>46122</v>
      </c>
      <c r="D183" s="73" t="str">
        <f t="shared" si="2"/>
        <v>2026-04</v>
      </c>
      <c r="E183" s="74">
        <f t="shared" si="5"/>
        <v>2520</v>
      </c>
      <c r="F183" s="37">
        <v>69.0</v>
      </c>
      <c r="G183" s="36">
        <v>2.0</v>
      </c>
      <c r="H183" s="36">
        <v>3.0</v>
      </c>
      <c r="I183" s="74">
        <f t="shared" si="4"/>
        <v>2.94</v>
      </c>
      <c r="J183" s="48" t="s">
        <v>831</v>
      </c>
    </row>
    <row r="184">
      <c r="A184" s="76" t="s">
        <v>9</v>
      </c>
      <c r="B184" s="71" t="s">
        <v>836</v>
      </c>
      <c r="C184" s="71">
        <f t="shared" si="1"/>
        <v>46121</v>
      </c>
      <c r="D184" s="73" t="str">
        <f t="shared" si="2"/>
        <v>2026-04</v>
      </c>
      <c r="E184" s="74">
        <f t="shared" si="5"/>
        <v>4160</v>
      </c>
      <c r="F184" s="37">
        <v>29.0</v>
      </c>
      <c r="G184" s="36">
        <v>0.0</v>
      </c>
      <c r="H184" s="36">
        <v>0.0</v>
      </c>
      <c r="I184" s="74">
        <f t="shared" si="4"/>
        <v>0.7</v>
      </c>
      <c r="J184" s="48" t="s">
        <v>834</v>
      </c>
    </row>
    <row r="185">
      <c r="A185" s="76" t="s">
        <v>9</v>
      </c>
      <c r="B185" s="71" t="s">
        <v>839</v>
      </c>
      <c r="C185" s="71">
        <f t="shared" si="1"/>
        <v>46114</v>
      </c>
      <c r="D185" s="73" t="str">
        <f t="shared" si="2"/>
        <v>2026-04</v>
      </c>
      <c r="E185" s="74">
        <f t="shared" si="5"/>
        <v>2400</v>
      </c>
      <c r="F185" s="37">
        <v>33.0</v>
      </c>
      <c r="G185" s="36">
        <v>1.0</v>
      </c>
      <c r="H185" s="36">
        <v>2.0</v>
      </c>
      <c r="I185" s="74">
        <f t="shared" si="4"/>
        <v>1.5</v>
      </c>
      <c r="J185" s="48" t="s">
        <v>837</v>
      </c>
    </row>
    <row r="186">
      <c r="A186" s="76" t="s">
        <v>9</v>
      </c>
      <c r="B186" s="71" t="s">
        <v>842</v>
      </c>
      <c r="C186" s="71">
        <f t="shared" si="1"/>
        <v>46112</v>
      </c>
      <c r="D186" s="73" t="str">
        <f t="shared" si="2"/>
        <v>2026-03</v>
      </c>
      <c r="E186" s="74">
        <f t="shared" si="5"/>
        <v>3080</v>
      </c>
      <c r="F186" s="37">
        <v>147.0</v>
      </c>
      <c r="G186" s="36">
        <v>0.0</v>
      </c>
      <c r="H186" s="36">
        <v>1.0</v>
      </c>
      <c r="I186" s="74">
        <f t="shared" si="4"/>
        <v>4.81</v>
      </c>
      <c r="J186" s="48" t="s">
        <v>840</v>
      </c>
    </row>
    <row r="187">
      <c r="A187" s="76" t="s">
        <v>9</v>
      </c>
      <c r="B187" s="71" t="s">
        <v>846</v>
      </c>
      <c r="C187" s="71">
        <f t="shared" si="1"/>
        <v>46112</v>
      </c>
      <c r="D187" s="73" t="str">
        <f t="shared" si="2"/>
        <v>2026-03</v>
      </c>
      <c r="E187" s="74">
        <f t="shared" si="5"/>
        <v>2640</v>
      </c>
      <c r="F187" s="37">
        <v>93.0</v>
      </c>
      <c r="G187" s="36">
        <v>0.0</v>
      </c>
      <c r="H187" s="36">
        <v>3.0</v>
      </c>
      <c r="I187" s="74">
        <f t="shared" si="4"/>
        <v>3.64</v>
      </c>
      <c r="J187" s="48" t="s">
        <v>844</v>
      </c>
    </row>
    <row r="188">
      <c r="A188" s="76" t="s">
        <v>9</v>
      </c>
      <c r="B188" s="71" t="s">
        <v>850</v>
      </c>
      <c r="C188" s="71">
        <f t="shared" si="1"/>
        <v>46111</v>
      </c>
      <c r="D188" s="73" t="str">
        <f t="shared" si="2"/>
        <v>2026-03</v>
      </c>
      <c r="E188" s="74">
        <f t="shared" si="5"/>
        <v>2560</v>
      </c>
      <c r="F188" s="37">
        <v>144.0</v>
      </c>
      <c r="G188" s="36">
        <v>0.0</v>
      </c>
      <c r="H188" s="36">
        <v>1.0</v>
      </c>
      <c r="I188" s="74">
        <f t="shared" si="4"/>
        <v>5.66</v>
      </c>
      <c r="J188" s="48" t="s">
        <v>848</v>
      </c>
    </row>
    <row r="189">
      <c r="A189" s="76" t="s">
        <v>9</v>
      </c>
      <c r="B189" s="71" t="s">
        <v>854</v>
      </c>
      <c r="C189" s="71">
        <f t="shared" si="1"/>
        <v>46108</v>
      </c>
      <c r="D189" s="73" t="str">
        <f t="shared" si="2"/>
        <v>2026-03</v>
      </c>
      <c r="E189" s="74">
        <f t="shared" si="5"/>
        <v>4720</v>
      </c>
      <c r="F189" s="37">
        <v>133.0</v>
      </c>
      <c r="G189" s="36">
        <v>3.0</v>
      </c>
      <c r="H189" s="36">
        <v>8.0</v>
      </c>
      <c r="I189" s="74">
        <f t="shared" si="4"/>
        <v>3.05</v>
      </c>
      <c r="J189" s="48" t="s">
        <v>852</v>
      </c>
    </row>
    <row r="190">
      <c r="A190" s="76" t="s">
        <v>13</v>
      </c>
      <c r="B190" s="71" t="s">
        <v>868</v>
      </c>
      <c r="C190" s="71">
        <f t="shared" ref="C190:C369" si="6">DATE(RIGHT(B190,4), MATCH(MID(B190,5,3),{"Jan","Feb","Mar","Apr","May","Jun","Jul","Aug","Sep","Oct","Nov","Dec"},0), MID(B190,9,2))</f>
        <v>45322</v>
      </c>
      <c r="D190" s="73" t="str">
        <f t="shared" si="2"/>
        <v>2024-01</v>
      </c>
      <c r="E190" s="36">
        <v>317.0</v>
      </c>
      <c r="F190" s="37">
        <v>3.0</v>
      </c>
      <c r="G190" s="36">
        <v>0.0</v>
      </c>
      <c r="H190" s="74">
        <v>0.0</v>
      </c>
      <c r="I190" s="74">
        <f t="shared" si="4"/>
        <v>0.95</v>
      </c>
      <c r="J190" s="48" t="s">
        <v>866</v>
      </c>
    </row>
    <row r="191">
      <c r="A191" s="76" t="s">
        <v>13</v>
      </c>
      <c r="B191" s="71" t="s">
        <v>873</v>
      </c>
      <c r="C191" s="71">
        <f t="shared" si="6"/>
        <v>45285</v>
      </c>
      <c r="D191" s="73" t="str">
        <f t="shared" si="2"/>
        <v>2023-12</v>
      </c>
      <c r="E191" s="36">
        <v>251.0</v>
      </c>
      <c r="F191" s="37">
        <v>0.0</v>
      </c>
      <c r="G191" s="36">
        <v>0.0</v>
      </c>
      <c r="H191" s="74">
        <v>0.0</v>
      </c>
      <c r="I191" s="74">
        <f t="shared" si="4"/>
        <v>0</v>
      </c>
      <c r="J191" s="48" t="s">
        <v>871</v>
      </c>
    </row>
    <row r="192">
      <c r="A192" s="76" t="s">
        <v>13</v>
      </c>
      <c r="B192" s="71" t="s">
        <v>877</v>
      </c>
      <c r="C192" s="71">
        <f t="shared" si="6"/>
        <v>45284</v>
      </c>
      <c r="D192" s="73" t="str">
        <f t="shared" si="2"/>
        <v>2023-12</v>
      </c>
      <c r="E192" s="36">
        <v>224.0</v>
      </c>
      <c r="F192" s="37">
        <v>1.0</v>
      </c>
      <c r="G192" s="36">
        <v>0.0</v>
      </c>
      <c r="H192" s="74">
        <v>0.0</v>
      </c>
      <c r="I192" s="74">
        <f t="shared" si="4"/>
        <v>0.45</v>
      </c>
      <c r="J192" s="48" t="s">
        <v>875</v>
      </c>
    </row>
    <row r="193">
      <c r="A193" s="76" t="s">
        <v>13</v>
      </c>
      <c r="B193" s="71" t="s">
        <v>882</v>
      </c>
      <c r="C193" s="71">
        <f t="shared" si="6"/>
        <v>45283</v>
      </c>
      <c r="D193" s="73" t="str">
        <f t="shared" si="2"/>
        <v>2023-12</v>
      </c>
      <c r="E193" s="36">
        <v>169.0</v>
      </c>
      <c r="F193" s="37">
        <v>1.0</v>
      </c>
      <c r="G193" s="36">
        <v>0.0</v>
      </c>
      <c r="H193" s="74">
        <v>0.0</v>
      </c>
      <c r="I193" s="74">
        <f t="shared" si="4"/>
        <v>0.59</v>
      </c>
      <c r="J193" s="48" t="s">
        <v>880</v>
      </c>
    </row>
    <row r="194">
      <c r="A194" s="76" t="s">
        <v>13</v>
      </c>
      <c r="B194" s="71" t="s">
        <v>887</v>
      </c>
      <c r="C194" s="71">
        <f t="shared" si="6"/>
        <v>45282</v>
      </c>
      <c r="D194" s="73" t="str">
        <f t="shared" si="2"/>
        <v>2023-12</v>
      </c>
      <c r="E194" s="36">
        <v>165.0</v>
      </c>
      <c r="F194" s="37">
        <v>3.0</v>
      </c>
      <c r="G194" s="36">
        <v>0.0</v>
      </c>
      <c r="H194" s="74">
        <v>0.0</v>
      </c>
      <c r="I194" s="74">
        <f t="shared" si="4"/>
        <v>1.82</v>
      </c>
      <c r="J194" s="48" t="s">
        <v>885</v>
      </c>
    </row>
    <row r="195">
      <c r="A195" s="76" t="s">
        <v>13</v>
      </c>
      <c r="B195" s="71" t="s">
        <v>891</v>
      </c>
      <c r="C195" s="71">
        <f t="shared" si="6"/>
        <v>45274</v>
      </c>
      <c r="D195" s="73" t="str">
        <f t="shared" si="2"/>
        <v>2023-12</v>
      </c>
      <c r="E195" s="36">
        <v>165.0</v>
      </c>
      <c r="F195" s="37">
        <v>2.0</v>
      </c>
      <c r="G195" s="36">
        <v>0.0</v>
      </c>
      <c r="H195" s="74">
        <v>1.0</v>
      </c>
      <c r="I195" s="74">
        <f t="shared" si="4"/>
        <v>1.82</v>
      </c>
      <c r="J195" s="48" t="s">
        <v>889</v>
      </c>
    </row>
    <row r="196">
      <c r="A196" s="76" t="s">
        <v>13</v>
      </c>
      <c r="B196" s="71" t="s">
        <v>896</v>
      </c>
      <c r="C196" s="71">
        <f t="shared" si="6"/>
        <v>45261</v>
      </c>
      <c r="D196" s="73" t="str">
        <f t="shared" si="2"/>
        <v>2023-12</v>
      </c>
      <c r="E196" s="36">
        <v>153.0</v>
      </c>
      <c r="F196" s="37">
        <v>0.0</v>
      </c>
      <c r="G196" s="36">
        <v>0.0</v>
      </c>
      <c r="H196" s="74">
        <v>0.0</v>
      </c>
      <c r="I196" s="74">
        <f t="shared" si="4"/>
        <v>0</v>
      </c>
      <c r="J196" s="48" t="s">
        <v>894</v>
      </c>
    </row>
    <row r="197">
      <c r="A197" s="76" t="s">
        <v>13</v>
      </c>
      <c r="B197" s="71" t="s">
        <v>901</v>
      </c>
      <c r="C197" s="71">
        <f t="shared" si="6"/>
        <v>45261</v>
      </c>
      <c r="D197" s="73" t="str">
        <f t="shared" si="2"/>
        <v>2023-12</v>
      </c>
      <c r="E197" s="36">
        <v>134.0</v>
      </c>
      <c r="F197" s="37">
        <v>1.0</v>
      </c>
      <c r="G197" s="36">
        <v>0.0</v>
      </c>
      <c r="H197" s="74">
        <v>0.0</v>
      </c>
      <c r="I197" s="74">
        <f t="shared" si="4"/>
        <v>0.75</v>
      </c>
      <c r="J197" s="48" t="s">
        <v>899</v>
      </c>
    </row>
    <row r="198">
      <c r="A198" s="76" t="s">
        <v>13</v>
      </c>
      <c r="B198" s="71" t="s">
        <v>906</v>
      </c>
      <c r="C198" s="71">
        <f t="shared" si="6"/>
        <v>45260</v>
      </c>
      <c r="D198" s="73" t="str">
        <f t="shared" si="2"/>
        <v>2023-11</v>
      </c>
      <c r="E198" s="36">
        <v>151.0</v>
      </c>
      <c r="F198" s="37">
        <v>2.0</v>
      </c>
      <c r="G198" s="36">
        <v>0.0</v>
      </c>
      <c r="H198" s="74">
        <v>1.0</v>
      </c>
      <c r="I198" s="74">
        <f t="shared" si="4"/>
        <v>1.99</v>
      </c>
      <c r="J198" s="48" t="s">
        <v>904</v>
      </c>
    </row>
    <row r="199">
      <c r="A199" s="76" t="s">
        <v>13</v>
      </c>
      <c r="B199" s="71" t="s">
        <v>868</v>
      </c>
      <c r="C199" s="71">
        <f t="shared" si="6"/>
        <v>45322</v>
      </c>
      <c r="D199" s="73" t="str">
        <f t="shared" si="2"/>
        <v>2024-01</v>
      </c>
      <c r="E199" s="36">
        <v>316.0</v>
      </c>
      <c r="F199" s="37">
        <v>3.0</v>
      </c>
      <c r="G199" s="36">
        <v>0.0</v>
      </c>
      <c r="H199" s="74">
        <v>0.0</v>
      </c>
      <c r="I199" s="74">
        <f t="shared" si="4"/>
        <v>0.95</v>
      </c>
      <c r="J199" s="48" t="s">
        <v>866</v>
      </c>
    </row>
    <row r="200">
      <c r="A200" s="76" t="s">
        <v>13</v>
      </c>
      <c r="B200" s="71" t="s">
        <v>873</v>
      </c>
      <c r="C200" s="71">
        <f t="shared" si="6"/>
        <v>45285</v>
      </c>
      <c r="D200" s="73" t="str">
        <f t="shared" si="2"/>
        <v>2023-12</v>
      </c>
      <c r="E200" s="36">
        <v>251.0</v>
      </c>
      <c r="F200" s="37">
        <v>0.0</v>
      </c>
      <c r="G200" s="36">
        <v>0.0</v>
      </c>
      <c r="H200" s="74">
        <v>0.0</v>
      </c>
      <c r="I200" s="74">
        <f t="shared" si="4"/>
        <v>0</v>
      </c>
      <c r="J200" s="48" t="s">
        <v>871</v>
      </c>
    </row>
    <row r="201">
      <c r="A201" s="76" t="s">
        <v>13</v>
      </c>
      <c r="B201" s="71" t="s">
        <v>877</v>
      </c>
      <c r="C201" s="71">
        <f t="shared" si="6"/>
        <v>45284</v>
      </c>
      <c r="D201" s="73" t="str">
        <f t="shared" si="2"/>
        <v>2023-12</v>
      </c>
      <c r="E201" s="36">
        <v>224.0</v>
      </c>
      <c r="F201" s="37">
        <v>1.0</v>
      </c>
      <c r="G201" s="36">
        <v>0.0</v>
      </c>
      <c r="H201" s="74">
        <v>0.0</v>
      </c>
      <c r="I201" s="74">
        <f t="shared" si="4"/>
        <v>0.45</v>
      </c>
      <c r="J201" s="48" t="s">
        <v>875</v>
      </c>
    </row>
    <row r="202">
      <c r="A202" s="76" t="s">
        <v>13</v>
      </c>
      <c r="B202" s="71" t="s">
        <v>882</v>
      </c>
      <c r="C202" s="71">
        <f t="shared" si="6"/>
        <v>45283</v>
      </c>
      <c r="D202" s="73" t="str">
        <f t="shared" si="2"/>
        <v>2023-12</v>
      </c>
      <c r="E202" s="36">
        <v>169.0</v>
      </c>
      <c r="F202" s="37">
        <v>1.0</v>
      </c>
      <c r="G202" s="36">
        <v>0.0</v>
      </c>
      <c r="H202" s="74">
        <v>0.0</v>
      </c>
      <c r="I202" s="74">
        <f t="shared" si="4"/>
        <v>0.59</v>
      </c>
      <c r="J202" s="48" t="s">
        <v>880</v>
      </c>
    </row>
    <row r="203">
      <c r="A203" s="76" t="s">
        <v>13</v>
      </c>
      <c r="B203" s="71" t="s">
        <v>887</v>
      </c>
      <c r="C203" s="71">
        <f t="shared" si="6"/>
        <v>45282</v>
      </c>
      <c r="D203" s="73" t="str">
        <f t="shared" si="2"/>
        <v>2023-12</v>
      </c>
      <c r="E203" s="36">
        <v>165.0</v>
      </c>
      <c r="F203" s="37">
        <v>3.0</v>
      </c>
      <c r="G203" s="36">
        <v>0.0</v>
      </c>
      <c r="H203" s="74">
        <v>0.0</v>
      </c>
      <c r="I203" s="74">
        <f t="shared" si="4"/>
        <v>1.82</v>
      </c>
      <c r="J203" s="48" t="s">
        <v>885</v>
      </c>
    </row>
    <row r="204">
      <c r="A204" s="76" t="s">
        <v>13</v>
      </c>
      <c r="B204" s="71" t="s">
        <v>891</v>
      </c>
      <c r="C204" s="71">
        <f t="shared" si="6"/>
        <v>45274</v>
      </c>
      <c r="D204" s="73" t="str">
        <f t="shared" si="2"/>
        <v>2023-12</v>
      </c>
      <c r="E204" s="36">
        <v>165.0</v>
      </c>
      <c r="F204" s="37">
        <v>2.0</v>
      </c>
      <c r="G204" s="36">
        <v>0.0</v>
      </c>
      <c r="H204" s="74">
        <v>1.0</v>
      </c>
      <c r="I204" s="74">
        <f t="shared" si="4"/>
        <v>1.82</v>
      </c>
      <c r="J204" s="48" t="s">
        <v>889</v>
      </c>
    </row>
    <row r="205">
      <c r="A205" s="76" t="s">
        <v>13</v>
      </c>
      <c r="B205" s="71" t="s">
        <v>896</v>
      </c>
      <c r="C205" s="71">
        <f t="shared" si="6"/>
        <v>45261</v>
      </c>
      <c r="D205" s="73" t="str">
        <f t="shared" si="2"/>
        <v>2023-12</v>
      </c>
      <c r="E205" s="36">
        <v>152.0</v>
      </c>
      <c r="F205" s="37">
        <v>0.0</v>
      </c>
      <c r="G205" s="36">
        <v>0.0</v>
      </c>
      <c r="H205" s="74">
        <v>0.0</v>
      </c>
      <c r="I205" s="74">
        <f t="shared" si="4"/>
        <v>0</v>
      </c>
      <c r="J205" s="48" t="s">
        <v>894</v>
      </c>
    </row>
    <row r="206">
      <c r="A206" s="76" t="s">
        <v>13</v>
      </c>
      <c r="B206" s="71" t="s">
        <v>901</v>
      </c>
      <c r="C206" s="71">
        <f t="shared" si="6"/>
        <v>45261</v>
      </c>
      <c r="D206" s="73" t="str">
        <f t="shared" si="2"/>
        <v>2023-12</v>
      </c>
      <c r="E206" s="36">
        <v>134.0</v>
      </c>
      <c r="F206" s="37">
        <v>1.0</v>
      </c>
      <c r="G206" s="36">
        <v>0.0</v>
      </c>
      <c r="H206" s="74">
        <v>0.0</v>
      </c>
      <c r="I206" s="74">
        <f t="shared" si="4"/>
        <v>0.75</v>
      </c>
      <c r="J206" s="48" t="s">
        <v>899</v>
      </c>
    </row>
    <row r="207">
      <c r="A207" s="76" t="s">
        <v>13</v>
      </c>
      <c r="B207" s="71" t="s">
        <v>906</v>
      </c>
      <c r="C207" s="71">
        <f t="shared" si="6"/>
        <v>45260</v>
      </c>
      <c r="D207" s="73" t="str">
        <f t="shared" si="2"/>
        <v>2023-11</v>
      </c>
      <c r="E207" s="36">
        <v>151.0</v>
      </c>
      <c r="F207" s="37">
        <v>2.0</v>
      </c>
      <c r="G207" s="36">
        <v>0.0</v>
      </c>
      <c r="H207" s="74">
        <v>1.0</v>
      </c>
      <c r="I207" s="74">
        <f t="shared" si="4"/>
        <v>1.99</v>
      </c>
      <c r="J207" s="48" t="s">
        <v>904</v>
      </c>
    </row>
    <row r="208">
      <c r="A208" s="76" t="s">
        <v>13</v>
      </c>
      <c r="B208" s="71" t="s">
        <v>868</v>
      </c>
      <c r="C208" s="71">
        <f t="shared" si="6"/>
        <v>45322</v>
      </c>
      <c r="D208" s="73" t="str">
        <f t="shared" si="2"/>
        <v>2024-01</v>
      </c>
      <c r="E208" s="36">
        <v>317.0</v>
      </c>
      <c r="F208" s="37">
        <v>3.0</v>
      </c>
      <c r="G208" s="36">
        <v>0.0</v>
      </c>
      <c r="H208" s="74">
        <v>0.0</v>
      </c>
      <c r="I208" s="74">
        <f t="shared" si="4"/>
        <v>0.95</v>
      </c>
      <c r="J208" s="48" t="s">
        <v>866</v>
      </c>
    </row>
    <row r="209">
      <c r="A209" s="76" t="s">
        <v>13</v>
      </c>
      <c r="B209" s="71" t="s">
        <v>873</v>
      </c>
      <c r="C209" s="71">
        <f t="shared" si="6"/>
        <v>45285</v>
      </c>
      <c r="D209" s="73" t="str">
        <f t="shared" si="2"/>
        <v>2023-12</v>
      </c>
      <c r="E209" s="36">
        <v>251.0</v>
      </c>
      <c r="F209" s="37">
        <v>0.0</v>
      </c>
      <c r="G209" s="36">
        <v>0.0</v>
      </c>
      <c r="H209" s="74">
        <v>0.0</v>
      </c>
      <c r="I209" s="74">
        <f t="shared" si="4"/>
        <v>0</v>
      </c>
      <c r="J209" s="48" t="s">
        <v>871</v>
      </c>
    </row>
    <row r="210">
      <c r="A210" s="76" t="s">
        <v>13</v>
      </c>
      <c r="B210" s="71" t="s">
        <v>877</v>
      </c>
      <c r="C210" s="71">
        <f t="shared" si="6"/>
        <v>45284</v>
      </c>
      <c r="D210" s="73" t="str">
        <f t="shared" si="2"/>
        <v>2023-12</v>
      </c>
      <c r="E210" s="36">
        <v>224.0</v>
      </c>
      <c r="F210" s="37">
        <v>1.0</v>
      </c>
      <c r="G210" s="36">
        <v>0.0</v>
      </c>
      <c r="H210" s="74">
        <v>0.0</v>
      </c>
      <c r="I210" s="74">
        <f t="shared" si="4"/>
        <v>0.45</v>
      </c>
      <c r="J210" s="48" t="s">
        <v>875</v>
      </c>
    </row>
    <row r="211">
      <c r="A211" s="76" t="s">
        <v>13</v>
      </c>
      <c r="B211" s="71" t="s">
        <v>882</v>
      </c>
      <c r="C211" s="71">
        <f t="shared" si="6"/>
        <v>45283</v>
      </c>
      <c r="D211" s="73" t="str">
        <f t="shared" si="2"/>
        <v>2023-12</v>
      </c>
      <c r="E211" s="36">
        <v>169.0</v>
      </c>
      <c r="F211" s="37">
        <v>1.0</v>
      </c>
      <c r="G211" s="36">
        <v>0.0</v>
      </c>
      <c r="H211" s="74">
        <v>0.0</v>
      </c>
      <c r="I211" s="74">
        <f t="shared" si="4"/>
        <v>0.59</v>
      </c>
      <c r="J211" s="48" t="s">
        <v>880</v>
      </c>
    </row>
    <row r="212">
      <c r="A212" s="76" t="s">
        <v>13</v>
      </c>
      <c r="B212" s="71" t="s">
        <v>887</v>
      </c>
      <c r="C212" s="71">
        <f t="shared" si="6"/>
        <v>45282</v>
      </c>
      <c r="D212" s="73" t="str">
        <f t="shared" si="2"/>
        <v>2023-12</v>
      </c>
      <c r="E212" s="36">
        <v>165.0</v>
      </c>
      <c r="F212" s="37">
        <v>3.0</v>
      </c>
      <c r="G212" s="36">
        <v>0.0</v>
      </c>
      <c r="H212" s="74">
        <v>0.0</v>
      </c>
      <c r="I212" s="74">
        <f t="shared" si="4"/>
        <v>1.82</v>
      </c>
      <c r="J212" s="48" t="s">
        <v>885</v>
      </c>
    </row>
    <row r="213">
      <c r="A213" s="76" t="s">
        <v>13</v>
      </c>
      <c r="B213" s="71" t="s">
        <v>891</v>
      </c>
      <c r="C213" s="71">
        <f t="shared" si="6"/>
        <v>45274</v>
      </c>
      <c r="D213" s="73" t="str">
        <f t="shared" si="2"/>
        <v>2023-12</v>
      </c>
      <c r="E213" s="36">
        <v>165.0</v>
      </c>
      <c r="F213" s="37">
        <v>2.0</v>
      </c>
      <c r="G213" s="36">
        <v>0.0</v>
      </c>
      <c r="H213" s="74">
        <v>1.0</v>
      </c>
      <c r="I213" s="74">
        <f t="shared" si="4"/>
        <v>1.82</v>
      </c>
      <c r="J213" s="48" t="s">
        <v>889</v>
      </c>
    </row>
    <row r="214">
      <c r="A214" s="76" t="s">
        <v>13</v>
      </c>
      <c r="B214" s="71" t="s">
        <v>896</v>
      </c>
      <c r="C214" s="71">
        <f t="shared" si="6"/>
        <v>45261</v>
      </c>
      <c r="D214" s="73" t="str">
        <f t="shared" si="2"/>
        <v>2023-12</v>
      </c>
      <c r="E214" s="36">
        <v>153.0</v>
      </c>
      <c r="F214" s="37">
        <v>0.0</v>
      </c>
      <c r="G214" s="36">
        <v>0.0</v>
      </c>
      <c r="H214" s="74">
        <v>0.0</v>
      </c>
      <c r="I214" s="74">
        <f t="shared" si="4"/>
        <v>0</v>
      </c>
      <c r="J214" s="48" t="s">
        <v>894</v>
      </c>
    </row>
    <row r="215">
      <c r="A215" s="76" t="s">
        <v>13</v>
      </c>
      <c r="B215" s="71" t="s">
        <v>901</v>
      </c>
      <c r="C215" s="71">
        <f t="shared" si="6"/>
        <v>45261</v>
      </c>
      <c r="D215" s="73" t="str">
        <f t="shared" si="2"/>
        <v>2023-12</v>
      </c>
      <c r="E215" s="36">
        <v>134.0</v>
      </c>
      <c r="F215" s="37">
        <v>1.0</v>
      </c>
      <c r="G215" s="36">
        <v>0.0</v>
      </c>
      <c r="H215" s="74">
        <v>0.0</v>
      </c>
      <c r="I215" s="74">
        <f t="shared" si="4"/>
        <v>0.75</v>
      </c>
      <c r="J215" s="48" t="s">
        <v>899</v>
      </c>
    </row>
    <row r="216">
      <c r="A216" s="76" t="s">
        <v>13</v>
      </c>
      <c r="B216" s="71" t="s">
        <v>906</v>
      </c>
      <c r="C216" s="71">
        <f t="shared" si="6"/>
        <v>45260</v>
      </c>
      <c r="D216" s="73" t="str">
        <f t="shared" si="2"/>
        <v>2023-11</v>
      </c>
      <c r="E216" s="36">
        <v>151.0</v>
      </c>
      <c r="F216" s="37">
        <v>2.0</v>
      </c>
      <c r="G216" s="36">
        <v>0.0</v>
      </c>
      <c r="H216" s="74">
        <v>1.0</v>
      </c>
      <c r="I216" s="74">
        <f t="shared" si="4"/>
        <v>1.99</v>
      </c>
      <c r="J216" s="48" t="s">
        <v>904</v>
      </c>
    </row>
    <row r="217">
      <c r="A217" s="76" t="s">
        <v>13</v>
      </c>
      <c r="B217" s="71" t="s">
        <v>868</v>
      </c>
      <c r="C217" s="71">
        <f t="shared" si="6"/>
        <v>45322</v>
      </c>
      <c r="D217" s="73" t="str">
        <f t="shared" si="2"/>
        <v>2024-01</v>
      </c>
      <c r="E217" s="36">
        <v>317.0</v>
      </c>
      <c r="F217" s="37">
        <v>3.0</v>
      </c>
      <c r="G217" s="36">
        <v>0.0</v>
      </c>
      <c r="H217" s="74">
        <v>0.0</v>
      </c>
      <c r="I217" s="74">
        <f t="shared" si="4"/>
        <v>0.95</v>
      </c>
      <c r="J217" s="48" t="s">
        <v>866</v>
      </c>
    </row>
    <row r="218">
      <c r="A218" s="76" t="s">
        <v>13</v>
      </c>
      <c r="B218" s="71" t="s">
        <v>873</v>
      </c>
      <c r="C218" s="71">
        <f t="shared" si="6"/>
        <v>45285</v>
      </c>
      <c r="D218" s="73" t="str">
        <f t="shared" si="2"/>
        <v>2023-12</v>
      </c>
      <c r="E218" s="36">
        <v>251.0</v>
      </c>
      <c r="F218" s="37">
        <v>0.0</v>
      </c>
      <c r="G218" s="36">
        <v>0.0</v>
      </c>
      <c r="H218" s="74">
        <v>0.0</v>
      </c>
      <c r="I218" s="74">
        <f t="shared" si="4"/>
        <v>0</v>
      </c>
      <c r="J218" s="48" t="s">
        <v>871</v>
      </c>
    </row>
    <row r="219">
      <c r="A219" s="76" t="s">
        <v>13</v>
      </c>
      <c r="B219" s="71" t="s">
        <v>877</v>
      </c>
      <c r="C219" s="71">
        <f t="shared" si="6"/>
        <v>45284</v>
      </c>
      <c r="D219" s="73" t="str">
        <f t="shared" si="2"/>
        <v>2023-12</v>
      </c>
      <c r="E219" s="36">
        <v>224.0</v>
      </c>
      <c r="F219" s="37">
        <v>1.0</v>
      </c>
      <c r="G219" s="36">
        <v>0.0</v>
      </c>
      <c r="H219" s="74">
        <v>0.0</v>
      </c>
      <c r="I219" s="74">
        <f t="shared" si="4"/>
        <v>0.45</v>
      </c>
      <c r="J219" s="48" t="s">
        <v>875</v>
      </c>
    </row>
    <row r="220">
      <c r="A220" s="76" t="s">
        <v>13</v>
      </c>
      <c r="B220" s="71" t="s">
        <v>882</v>
      </c>
      <c r="C220" s="71">
        <f t="shared" si="6"/>
        <v>45283</v>
      </c>
      <c r="D220" s="73" t="str">
        <f t="shared" si="2"/>
        <v>2023-12</v>
      </c>
      <c r="E220" s="36">
        <v>169.0</v>
      </c>
      <c r="F220" s="37">
        <v>1.0</v>
      </c>
      <c r="G220" s="36">
        <v>0.0</v>
      </c>
      <c r="H220" s="74">
        <v>0.0</v>
      </c>
      <c r="I220" s="74">
        <f t="shared" si="4"/>
        <v>0.59</v>
      </c>
      <c r="J220" s="48" t="s">
        <v>880</v>
      </c>
    </row>
    <row r="221">
      <c r="A221" s="76" t="s">
        <v>13</v>
      </c>
      <c r="B221" s="71" t="s">
        <v>887</v>
      </c>
      <c r="C221" s="71">
        <f t="shared" si="6"/>
        <v>45282</v>
      </c>
      <c r="D221" s="73" t="str">
        <f t="shared" si="2"/>
        <v>2023-12</v>
      </c>
      <c r="E221" s="36">
        <v>165.0</v>
      </c>
      <c r="F221" s="37">
        <v>3.0</v>
      </c>
      <c r="G221" s="36">
        <v>0.0</v>
      </c>
      <c r="H221" s="74">
        <v>0.0</v>
      </c>
      <c r="I221" s="74">
        <f t="shared" si="4"/>
        <v>1.82</v>
      </c>
      <c r="J221" s="48" t="s">
        <v>885</v>
      </c>
    </row>
    <row r="222">
      <c r="A222" s="76" t="s">
        <v>13</v>
      </c>
      <c r="B222" s="71" t="s">
        <v>891</v>
      </c>
      <c r="C222" s="71">
        <f t="shared" si="6"/>
        <v>45274</v>
      </c>
      <c r="D222" s="73" t="str">
        <f t="shared" si="2"/>
        <v>2023-12</v>
      </c>
      <c r="E222" s="36">
        <v>165.0</v>
      </c>
      <c r="F222" s="37">
        <v>2.0</v>
      </c>
      <c r="G222" s="36">
        <v>0.0</v>
      </c>
      <c r="H222" s="74">
        <v>1.0</v>
      </c>
      <c r="I222" s="74">
        <f t="shared" si="4"/>
        <v>1.82</v>
      </c>
      <c r="J222" s="48" t="s">
        <v>889</v>
      </c>
    </row>
    <row r="223">
      <c r="A223" s="76" t="s">
        <v>13</v>
      </c>
      <c r="B223" s="71" t="s">
        <v>896</v>
      </c>
      <c r="C223" s="71">
        <f t="shared" si="6"/>
        <v>45261</v>
      </c>
      <c r="D223" s="73" t="str">
        <f t="shared" si="2"/>
        <v>2023-12</v>
      </c>
      <c r="E223" s="36">
        <v>153.0</v>
      </c>
      <c r="F223" s="37">
        <v>0.0</v>
      </c>
      <c r="G223" s="36">
        <v>0.0</v>
      </c>
      <c r="H223" s="74">
        <v>0.0</v>
      </c>
      <c r="I223" s="74">
        <f t="shared" si="4"/>
        <v>0</v>
      </c>
      <c r="J223" s="48" t="s">
        <v>894</v>
      </c>
    </row>
    <row r="224">
      <c r="A224" s="76" t="s">
        <v>13</v>
      </c>
      <c r="B224" s="71" t="s">
        <v>901</v>
      </c>
      <c r="C224" s="71">
        <f t="shared" si="6"/>
        <v>45261</v>
      </c>
      <c r="D224" s="73" t="str">
        <f t="shared" si="2"/>
        <v>2023-12</v>
      </c>
      <c r="E224" s="36">
        <v>134.0</v>
      </c>
      <c r="F224" s="37">
        <v>1.0</v>
      </c>
      <c r="G224" s="36">
        <v>0.0</v>
      </c>
      <c r="H224" s="74">
        <v>0.0</v>
      </c>
      <c r="I224" s="74">
        <f t="shared" si="4"/>
        <v>0.75</v>
      </c>
      <c r="J224" s="48" t="s">
        <v>899</v>
      </c>
    </row>
    <row r="225">
      <c r="A225" s="76" t="s">
        <v>13</v>
      </c>
      <c r="B225" s="71" t="s">
        <v>906</v>
      </c>
      <c r="C225" s="71">
        <f t="shared" si="6"/>
        <v>45260</v>
      </c>
      <c r="D225" s="73" t="str">
        <f t="shared" si="2"/>
        <v>2023-11</v>
      </c>
      <c r="E225" s="36">
        <v>151.0</v>
      </c>
      <c r="F225" s="37">
        <v>2.0</v>
      </c>
      <c r="G225" s="36">
        <v>0.0</v>
      </c>
      <c r="H225" s="74">
        <v>1.0</v>
      </c>
      <c r="I225" s="74">
        <f t="shared" si="4"/>
        <v>1.99</v>
      </c>
      <c r="J225" s="48" t="s">
        <v>904</v>
      </c>
    </row>
    <row r="226">
      <c r="A226" s="76" t="s">
        <v>13</v>
      </c>
      <c r="B226" s="71" t="s">
        <v>868</v>
      </c>
      <c r="C226" s="71">
        <f t="shared" si="6"/>
        <v>45322</v>
      </c>
      <c r="D226" s="73" t="str">
        <f t="shared" si="2"/>
        <v>2024-01</v>
      </c>
      <c r="E226" s="36">
        <v>316.0</v>
      </c>
      <c r="F226" s="37">
        <v>3.0</v>
      </c>
      <c r="G226" s="36">
        <v>0.0</v>
      </c>
      <c r="H226" s="74">
        <v>0.0</v>
      </c>
      <c r="I226" s="74">
        <f t="shared" si="4"/>
        <v>0.95</v>
      </c>
      <c r="J226" s="48" t="s">
        <v>866</v>
      </c>
    </row>
    <row r="227">
      <c r="A227" s="76" t="s">
        <v>13</v>
      </c>
      <c r="B227" s="71" t="s">
        <v>873</v>
      </c>
      <c r="C227" s="71">
        <f t="shared" si="6"/>
        <v>45285</v>
      </c>
      <c r="D227" s="73" t="str">
        <f t="shared" si="2"/>
        <v>2023-12</v>
      </c>
      <c r="E227" s="36">
        <v>251.0</v>
      </c>
      <c r="F227" s="37">
        <v>0.0</v>
      </c>
      <c r="G227" s="36">
        <v>0.0</v>
      </c>
      <c r="H227" s="74">
        <v>0.0</v>
      </c>
      <c r="I227" s="74">
        <f t="shared" si="4"/>
        <v>0</v>
      </c>
      <c r="J227" s="48" t="s">
        <v>871</v>
      </c>
    </row>
    <row r="228">
      <c r="A228" s="76" t="s">
        <v>13</v>
      </c>
      <c r="B228" s="71" t="s">
        <v>877</v>
      </c>
      <c r="C228" s="71">
        <f t="shared" si="6"/>
        <v>45284</v>
      </c>
      <c r="D228" s="73" t="str">
        <f t="shared" si="2"/>
        <v>2023-12</v>
      </c>
      <c r="E228" s="36">
        <v>224.0</v>
      </c>
      <c r="F228" s="37">
        <v>1.0</v>
      </c>
      <c r="G228" s="36">
        <v>0.0</v>
      </c>
      <c r="H228" s="74">
        <v>0.0</v>
      </c>
      <c r="I228" s="74">
        <f t="shared" si="4"/>
        <v>0.45</v>
      </c>
      <c r="J228" s="48" t="s">
        <v>875</v>
      </c>
    </row>
    <row r="229">
      <c r="A229" s="76" t="s">
        <v>13</v>
      </c>
      <c r="B229" s="71" t="s">
        <v>882</v>
      </c>
      <c r="C229" s="71">
        <f t="shared" si="6"/>
        <v>45283</v>
      </c>
      <c r="D229" s="73" t="str">
        <f t="shared" si="2"/>
        <v>2023-12</v>
      </c>
      <c r="E229" s="36">
        <v>169.0</v>
      </c>
      <c r="F229" s="37">
        <v>1.0</v>
      </c>
      <c r="G229" s="36">
        <v>0.0</v>
      </c>
      <c r="H229" s="74">
        <v>0.0</v>
      </c>
      <c r="I229" s="74">
        <f t="shared" si="4"/>
        <v>0.59</v>
      </c>
      <c r="J229" s="48" t="s">
        <v>880</v>
      </c>
    </row>
    <row r="230">
      <c r="A230" s="76" t="s">
        <v>13</v>
      </c>
      <c r="B230" s="71" t="s">
        <v>887</v>
      </c>
      <c r="C230" s="71">
        <f t="shared" si="6"/>
        <v>45282</v>
      </c>
      <c r="D230" s="73" t="str">
        <f t="shared" si="2"/>
        <v>2023-12</v>
      </c>
      <c r="E230" s="36">
        <v>165.0</v>
      </c>
      <c r="F230" s="37">
        <v>3.0</v>
      </c>
      <c r="G230" s="36">
        <v>0.0</v>
      </c>
      <c r="H230" s="74">
        <v>0.0</v>
      </c>
      <c r="I230" s="74">
        <f t="shared" si="4"/>
        <v>1.82</v>
      </c>
      <c r="J230" s="48" t="s">
        <v>885</v>
      </c>
    </row>
    <row r="231">
      <c r="A231" s="76" t="s">
        <v>13</v>
      </c>
      <c r="B231" s="71" t="s">
        <v>891</v>
      </c>
      <c r="C231" s="71">
        <f t="shared" si="6"/>
        <v>45274</v>
      </c>
      <c r="D231" s="73" t="str">
        <f t="shared" si="2"/>
        <v>2023-12</v>
      </c>
      <c r="E231" s="36">
        <v>165.0</v>
      </c>
      <c r="F231" s="37">
        <v>2.0</v>
      </c>
      <c r="G231" s="36">
        <v>0.0</v>
      </c>
      <c r="H231" s="74">
        <v>1.0</v>
      </c>
      <c r="I231" s="74">
        <f t="shared" si="4"/>
        <v>1.82</v>
      </c>
      <c r="J231" s="48" t="s">
        <v>889</v>
      </c>
    </row>
    <row r="232">
      <c r="A232" s="76" t="s">
        <v>13</v>
      </c>
      <c r="B232" s="71" t="s">
        <v>896</v>
      </c>
      <c r="C232" s="71">
        <f t="shared" si="6"/>
        <v>45261</v>
      </c>
      <c r="D232" s="73" t="str">
        <f t="shared" si="2"/>
        <v>2023-12</v>
      </c>
      <c r="E232" s="36">
        <v>152.0</v>
      </c>
      <c r="F232" s="37">
        <v>0.0</v>
      </c>
      <c r="G232" s="36">
        <v>0.0</v>
      </c>
      <c r="H232" s="74">
        <v>0.0</v>
      </c>
      <c r="I232" s="74">
        <f t="shared" si="4"/>
        <v>0</v>
      </c>
      <c r="J232" s="48" t="s">
        <v>894</v>
      </c>
    </row>
    <row r="233">
      <c r="A233" s="76" t="s">
        <v>13</v>
      </c>
      <c r="B233" s="71" t="s">
        <v>901</v>
      </c>
      <c r="C233" s="71">
        <f t="shared" si="6"/>
        <v>45261</v>
      </c>
      <c r="D233" s="73" t="str">
        <f t="shared" si="2"/>
        <v>2023-12</v>
      </c>
      <c r="E233" s="36">
        <v>134.0</v>
      </c>
      <c r="F233" s="37">
        <v>1.0</v>
      </c>
      <c r="G233" s="36">
        <v>0.0</v>
      </c>
      <c r="H233" s="74">
        <v>0.0</v>
      </c>
      <c r="I233" s="74">
        <f t="shared" si="4"/>
        <v>0.75</v>
      </c>
      <c r="J233" s="48" t="s">
        <v>899</v>
      </c>
    </row>
    <row r="234">
      <c r="A234" s="76" t="s">
        <v>13</v>
      </c>
      <c r="B234" s="71" t="s">
        <v>906</v>
      </c>
      <c r="C234" s="71">
        <f t="shared" si="6"/>
        <v>45260</v>
      </c>
      <c r="D234" s="73" t="str">
        <f t="shared" si="2"/>
        <v>2023-11</v>
      </c>
      <c r="E234" s="36">
        <v>151.0</v>
      </c>
      <c r="F234" s="37">
        <v>2.0</v>
      </c>
      <c r="G234" s="36">
        <v>0.0</v>
      </c>
      <c r="H234" s="74">
        <v>1.0</v>
      </c>
      <c r="I234" s="74">
        <f t="shared" si="4"/>
        <v>1.99</v>
      </c>
      <c r="J234" s="48" t="s">
        <v>904</v>
      </c>
    </row>
    <row r="235">
      <c r="A235" s="76" t="s">
        <v>13</v>
      </c>
      <c r="B235" s="71" t="s">
        <v>868</v>
      </c>
      <c r="C235" s="71">
        <f t="shared" si="6"/>
        <v>45322</v>
      </c>
      <c r="D235" s="73" t="str">
        <f t="shared" si="2"/>
        <v>2024-01</v>
      </c>
      <c r="E235" s="36">
        <v>317.0</v>
      </c>
      <c r="F235" s="37">
        <v>3.0</v>
      </c>
      <c r="G235" s="36">
        <v>0.0</v>
      </c>
      <c r="H235" s="74">
        <v>0.0</v>
      </c>
      <c r="I235" s="74">
        <f t="shared" si="4"/>
        <v>0.95</v>
      </c>
      <c r="J235" s="48" t="s">
        <v>866</v>
      </c>
    </row>
    <row r="236">
      <c r="A236" s="76" t="s">
        <v>13</v>
      </c>
      <c r="B236" s="71" t="s">
        <v>873</v>
      </c>
      <c r="C236" s="71">
        <f t="shared" si="6"/>
        <v>45285</v>
      </c>
      <c r="D236" s="73" t="str">
        <f t="shared" si="2"/>
        <v>2023-12</v>
      </c>
      <c r="E236" s="36">
        <v>251.0</v>
      </c>
      <c r="F236" s="37">
        <v>0.0</v>
      </c>
      <c r="G236" s="36">
        <v>0.0</v>
      </c>
      <c r="H236" s="74">
        <v>0.0</v>
      </c>
      <c r="I236" s="74">
        <f t="shared" si="4"/>
        <v>0</v>
      </c>
      <c r="J236" s="48" t="s">
        <v>871</v>
      </c>
    </row>
    <row r="237">
      <c r="A237" s="76" t="s">
        <v>13</v>
      </c>
      <c r="B237" s="71" t="s">
        <v>877</v>
      </c>
      <c r="C237" s="71">
        <f t="shared" si="6"/>
        <v>45284</v>
      </c>
      <c r="D237" s="73" t="str">
        <f t="shared" si="2"/>
        <v>2023-12</v>
      </c>
      <c r="E237" s="36">
        <v>224.0</v>
      </c>
      <c r="F237" s="37">
        <v>1.0</v>
      </c>
      <c r="G237" s="36">
        <v>0.0</v>
      </c>
      <c r="H237" s="74">
        <v>0.0</v>
      </c>
      <c r="I237" s="74">
        <f t="shared" si="4"/>
        <v>0.45</v>
      </c>
      <c r="J237" s="48" t="s">
        <v>875</v>
      </c>
    </row>
    <row r="238">
      <c r="A238" s="76" t="s">
        <v>13</v>
      </c>
      <c r="B238" s="71" t="s">
        <v>882</v>
      </c>
      <c r="C238" s="71">
        <f t="shared" si="6"/>
        <v>45283</v>
      </c>
      <c r="D238" s="73" t="str">
        <f t="shared" si="2"/>
        <v>2023-12</v>
      </c>
      <c r="E238" s="36">
        <v>169.0</v>
      </c>
      <c r="F238" s="37">
        <v>1.0</v>
      </c>
      <c r="G238" s="36">
        <v>0.0</v>
      </c>
      <c r="H238" s="74">
        <v>0.0</v>
      </c>
      <c r="I238" s="74">
        <f t="shared" si="4"/>
        <v>0.59</v>
      </c>
      <c r="J238" s="48" t="s">
        <v>880</v>
      </c>
    </row>
    <row r="239">
      <c r="A239" s="76" t="s">
        <v>13</v>
      </c>
      <c r="B239" s="71" t="s">
        <v>887</v>
      </c>
      <c r="C239" s="71">
        <f t="shared" si="6"/>
        <v>45282</v>
      </c>
      <c r="D239" s="73" t="str">
        <f t="shared" si="2"/>
        <v>2023-12</v>
      </c>
      <c r="E239" s="36">
        <v>165.0</v>
      </c>
      <c r="F239" s="37">
        <v>3.0</v>
      </c>
      <c r="G239" s="36">
        <v>0.0</v>
      </c>
      <c r="H239" s="74">
        <v>0.0</v>
      </c>
      <c r="I239" s="74">
        <f t="shared" si="4"/>
        <v>1.82</v>
      </c>
      <c r="J239" s="48" t="s">
        <v>885</v>
      </c>
    </row>
    <row r="240">
      <c r="A240" s="76" t="s">
        <v>13</v>
      </c>
      <c r="B240" s="71" t="s">
        <v>891</v>
      </c>
      <c r="C240" s="71">
        <f t="shared" si="6"/>
        <v>45274</v>
      </c>
      <c r="D240" s="73" t="str">
        <f t="shared" si="2"/>
        <v>2023-12</v>
      </c>
      <c r="E240" s="36">
        <v>165.0</v>
      </c>
      <c r="F240" s="37">
        <v>2.0</v>
      </c>
      <c r="G240" s="36">
        <v>0.0</v>
      </c>
      <c r="H240" s="74">
        <v>1.0</v>
      </c>
      <c r="I240" s="74">
        <f t="shared" si="4"/>
        <v>1.82</v>
      </c>
      <c r="J240" s="48" t="s">
        <v>889</v>
      </c>
    </row>
    <row r="241">
      <c r="A241" s="76" t="s">
        <v>13</v>
      </c>
      <c r="B241" s="71" t="s">
        <v>896</v>
      </c>
      <c r="C241" s="71">
        <f t="shared" si="6"/>
        <v>45261</v>
      </c>
      <c r="D241" s="73" t="str">
        <f t="shared" si="2"/>
        <v>2023-12</v>
      </c>
      <c r="E241" s="36">
        <v>153.0</v>
      </c>
      <c r="F241" s="37">
        <v>0.0</v>
      </c>
      <c r="G241" s="36">
        <v>0.0</v>
      </c>
      <c r="H241" s="74">
        <v>0.0</v>
      </c>
      <c r="I241" s="74">
        <f t="shared" si="4"/>
        <v>0</v>
      </c>
      <c r="J241" s="48" t="s">
        <v>894</v>
      </c>
    </row>
    <row r="242">
      <c r="A242" s="76" t="s">
        <v>13</v>
      </c>
      <c r="B242" s="71" t="s">
        <v>901</v>
      </c>
      <c r="C242" s="71">
        <f t="shared" si="6"/>
        <v>45261</v>
      </c>
      <c r="D242" s="73" t="str">
        <f t="shared" si="2"/>
        <v>2023-12</v>
      </c>
      <c r="E242" s="36">
        <v>134.0</v>
      </c>
      <c r="F242" s="37">
        <v>1.0</v>
      </c>
      <c r="G242" s="36">
        <v>0.0</v>
      </c>
      <c r="H242" s="74">
        <v>0.0</v>
      </c>
      <c r="I242" s="74">
        <f t="shared" si="4"/>
        <v>0.75</v>
      </c>
      <c r="J242" s="48" t="s">
        <v>899</v>
      </c>
    </row>
    <row r="243">
      <c r="A243" s="76" t="s">
        <v>13</v>
      </c>
      <c r="B243" s="71" t="s">
        <v>906</v>
      </c>
      <c r="C243" s="71">
        <f t="shared" si="6"/>
        <v>45260</v>
      </c>
      <c r="D243" s="73" t="str">
        <f t="shared" si="2"/>
        <v>2023-11</v>
      </c>
      <c r="E243" s="36">
        <v>151.0</v>
      </c>
      <c r="F243" s="37">
        <v>2.0</v>
      </c>
      <c r="G243" s="36">
        <v>0.0</v>
      </c>
      <c r="H243" s="74">
        <v>1.0</v>
      </c>
      <c r="I243" s="74">
        <f t="shared" si="4"/>
        <v>1.99</v>
      </c>
      <c r="J243" s="48" t="s">
        <v>904</v>
      </c>
    </row>
    <row r="244">
      <c r="A244" s="76" t="s">
        <v>13</v>
      </c>
      <c r="B244" s="71" t="s">
        <v>868</v>
      </c>
      <c r="C244" s="71">
        <f t="shared" si="6"/>
        <v>45322</v>
      </c>
      <c r="D244" s="73" t="str">
        <f t="shared" si="2"/>
        <v>2024-01</v>
      </c>
      <c r="E244" s="36">
        <v>316.0</v>
      </c>
      <c r="F244" s="37">
        <v>3.0</v>
      </c>
      <c r="G244" s="36">
        <v>0.0</v>
      </c>
      <c r="H244" s="74">
        <v>0.0</v>
      </c>
      <c r="I244" s="74">
        <f t="shared" si="4"/>
        <v>0.95</v>
      </c>
      <c r="J244" s="48" t="s">
        <v>866</v>
      </c>
    </row>
    <row r="245">
      <c r="A245" s="76" t="s">
        <v>13</v>
      </c>
      <c r="B245" s="71" t="s">
        <v>873</v>
      </c>
      <c r="C245" s="71">
        <f t="shared" si="6"/>
        <v>45285</v>
      </c>
      <c r="D245" s="73" t="str">
        <f t="shared" si="2"/>
        <v>2023-12</v>
      </c>
      <c r="E245" s="36">
        <v>251.0</v>
      </c>
      <c r="F245" s="37">
        <v>0.0</v>
      </c>
      <c r="G245" s="36">
        <v>0.0</v>
      </c>
      <c r="H245" s="74">
        <v>0.0</v>
      </c>
      <c r="I245" s="74">
        <f t="shared" si="4"/>
        <v>0</v>
      </c>
      <c r="J245" s="48" t="s">
        <v>871</v>
      </c>
    </row>
    <row r="246">
      <c r="A246" s="76" t="s">
        <v>13</v>
      </c>
      <c r="B246" s="71" t="s">
        <v>877</v>
      </c>
      <c r="C246" s="71">
        <f t="shared" si="6"/>
        <v>45284</v>
      </c>
      <c r="D246" s="73" t="str">
        <f t="shared" si="2"/>
        <v>2023-12</v>
      </c>
      <c r="E246" s="36">
        <v>224.0</v>
      </c>
      <c r="F246" s="37">
        <v>1.0</v>
      </c>
      <c r="G246" s="36">
        <v>0.0</v>
      </c>
      <c r="H246" s="74">
        <v>0.0</v>
      </c>
      <c r="I246" s="74">
        <f t="shared" si="4"/>
        <v>0.45</v>
      </c>
      <c r="J246" s="48" t="s">
        <v>875</v>
      </c>
    </row>
    <row r="247">
      <c r="A247" s="76" t="s">
        <v>13</v>
      </c>
      <c r="B247" s="71" t="s">
        <v>882</v>
      </c>
      <c r="C247" s="71">
        <f t="shared" si="6"/>
        <v>45283</v>
      </c>
      <c r="D247" s="73" t="str">
        <f t="shared" si="2"/>
        <v>2023-12</v>
      </c>
      <c r="E247" s="36">
        <v>169.0</v>
      </c>
      <c r="F247" s="37">
        <v>1.0</v>
      </c>
      <c r="G247" s="36">
        <v>0.0</v>
      </c>
      <c r="H247" s="74">
        <v>0.0</v>
      </c>
      <c r="I247" s="74">
        <f t="shared" si="4"/>
        <v>0.59</v>
      </c>
      <c r="J247" s="48" t="s">
        <v>880</v>
      </c>
    </row>
    <row r="248">
      <c r="A248" s="76" t="s">
        <v>13</v>
      </c>
      <c r="B248" s="71" t="s">
        <v>887</v>
      </c>
      <c r="C248" s="71">
        <f t="shared" si="6"/>
        <v>45282</v>
      </c>
      <c r="D248" s="73" t="str">
        <f t="shared" si="2"/>
        <v>2023-12</v>
      </c>
      <c r="E248" s="36">
        <v>165.0</v>
      </c>
      <c r="F248" s="37">
        <v>3.0</v>
      </c>
      <c r="G248" s="36">
        <v>0.0</v>
      </c>
      <c r="H248" s="74">
        <v>0.0</v>
      </c>
      <c r="I248" s="74">
        <f t="shared" si="4"/>
        <v>1.82</v>
      </c>
      <c r="J248" s="48" t="s">
        <v>885</v>
      </c>
    </row>
    <row r="249">
      <c r="A249" s="76" t="s">
        <v>13</v>
      </c>
      <c r="B249" s="71" t="s">
        <v>891</v>
      </c>
      <c r="C249" s="71">
        <f t="shared" si="6"/>
        <v>45274</v>
      </c>
      <c r="D249" s="73" t="str">
        <f t="shared" si="2"/>
        <v>2023-12</v>
      </c>
      <c r="E249" s="36">
        <v>165.0</v>
      </c>
      <c r="F249" s="37">
        <v>2.0</v>
      </c>
      <c r="G249" s="36">
        <v>0.0</v>
      </c>
      <c r="H249" s="74">
        <v>1.0</v>
      </c>
      <c r="I249" s="74">
        <f t="shared" si="4"/>
        <v>1.82</v>
      </c>
      <c r="J249" s="48" t="s">
        <v>889</v>
      </c>
    </row>
    <row r="250">
      <c r="A250" s="76" t="s">
        <v>13</v>
      </c>
      <c r="B250" s="71" t="s">
        <v>896</v>
      </c>
      <c r="C250" s="71">
        <f t="shared" si="6"/>
        <v>45261</v>
      </c>
      <c r="D250" s="73" t="str">
        <f t="shared" si="2"/>
        <v>2023-12</v>
      </c>
      <c r="E250" s="36">
        <v>152.0</v>
      </c>
      <c r="F250" s="37">
        <v>0.0</v>
      </c>
      <c r="G250" s="36">
        <v>0.0</v>
      </c>
      <c r="H250" s="74">
        <v>0.0</v>
      </c>
      <c r="I250" s="74">
        <f t="shared" si="4"/>
        <v>0</v>
      </c>
      <c r="J250" s="48" t="s">
        <v>894</v>
      </c>
    </row>
    <row r="251">
      <c r="A251" s="76" t="s">
        <v>13</v>
      </c>
      <c r="B251" s="71" t="s">
        <v>901</v>
      </c>
      <c r="C251" s="71">
        <f t="shared" si="6"/>
        <v>45261</v>
      </c>
      <c r="D251" s="73" t="str">
        <f t="shared" si="2"/>
        <v>2023-12</v>
      </c>
      <c r="E251" s="36">
        <v>134.0</v>
      </c>
      <c r="F251" s="37">
        <v>1.0</v>
      </c>
      <c r="G251" s="36">
        <v>0.0</v>
      </c>
      <c r="H251" s="74">
        <v>0.0</v>
      </c>
      <c r="I251" s="74">
        <f t="shared" si="4"/>
        <v>0.75</v>
      </c>
      <c r="J251" s="48" t="s">
        <v>899</v>
      </c>
    </row>
    <row r="252">
      <c r="A252" s="76" t="s">
        <v>13</v>
      </c>
      <c r="B252" s="71" t="s">
        <v>906</v>
      </c>
      <c r="C252" s="71">
        <f t="shared" si="6"/>
        <v>45260</v>
      </c>
      <c r="D252" s="73" t="str">
        <f t="shared" si="2"/>
        <v>2023-11</v>
      </c>
      <c r="E252" s="36">
        <v>151.0</v>
      </c>
      <c r="F252" s="37">
        <v>2.0</v>
      </c>
      <c r="G252" s="36">
        <v>0.0</v>
      </c>
      <c r="H252" s="74">
        <v>1.0</v>
      </c>
      <c r="I252" s="74">
        <f t="shared" si="4"/>
        <v>1.99</v>
      </c>
      <c r="J252" s="48" t="s">
        <v>904</v>
      </c>
    </row>
    <row r="253">
      <c r="A253" s="76" t="s">
        <v>13</v>
      </c>
      <c r="B253" s="71" t="s">
        <v>868</v>
      </c>
      <c r="C253" s="71">
        <f t="shared" si="6"/>
        <v>45322</v>
      </c>
      <c r="D253" s="73" t="str">
        <f t="shared" si="2"/>
        <v>2024-01</v>
      </c>
      <c r="E253" s="36">
        <v>317.0</v>
      </c>
      <c r="F253" s="37">
        <v>3.0</v>
      </c>
      <c r="G253" s="36">
        <v>0.0</v>
      </c>
      <c r="H253" s="74">
        <v>0.0</v>
      </c>
      <c r="I253" s="74">
        <f t="shared" si="4"/>
        <v>0.95</v>
      </c>
      <c r="J253" s="48" t="s">
        <v>866</v>
      </c>
    </row>
    <row r="254">
      <c r="A254" s="76" t="s">
        <v>13</v>
      </c>
      <c r="B254" s="71" t="s">
        <v>873</v>
      </c>
      <c r="C254" s="71">
        <f t="shared" si="6"/>
        <v>45285</v>
      </c>
      <c r="D254" s="73" t="str">
        <f t="shared" si="2"/>
        <v>2023-12</v>
      </c>
      <c r="E254" s="36">
        <v>251.0</v>
      </c>
      <c r="F254" s="37">
        <v>0.0</v>
      </c>
      <c r="G254" s="36">
        <v>0.0</v>
      </c>
      <c r="H254" s="74">
        <v>0.0</v>
      </c>
      <c r="I254" s="74">
        <f t="shared" si="4"/>
        <v>0</v>
      </c>
      <c r="J254" s="48" t="s">
        <v>871</v>
      </c>
    </row>
    <row r="255">
      <c r="A255" s="76" t="s">
        <v>13</v>
      </c>
      <c r="B255" s="71" t="s">
        <v>877</v>
      </c>
      <c r="C255" s="71">
        <f t="shared" si="6"/>
        <v>45284</v>
      </c>
      <c r="D255" s="73" t="str">
        <f t="shared" si="2"/>
        <v>2023-12</v>
      </c>
      <c r="E255" s="36">
        <v>224.0</v>
      </c>
      <c r="F255" s="37">
        <v>1.0</v>
      </c>
      <c r="G255" s="36">
        <v>0.0</v>
      </c>
      <c r="H255" s="74">
        <v>0.0</v>
      </c>
      <c r="I255" s="74">
        <f t="shared" si="4"/>
        <v>0.45</v>
      </c>
      <c r="J255" s="48" t="s">
        <v>875</v>
      </c>
    </row>
    <row r="256">
      <c r="A256" s="76" t="s">
        <v>13</v>
      </c>
      <c r="B256" s="71" t="s">
        <v>882</v>
      </c>
      <c r="C256" s="71">
        <f t="shared" si="6"/>
        <v>45283</v>
      </c>
      <c r="D256" s="73" t="str">
        <f t="shared" si="2"/>
        <v>2023-12</v>
      </c>
      <c r="E256" s="36">
        <v>169.0</v>
      </c>
      <c r="F256" s="37">
        <v>1.0</v>
      </c>
      <c r="G256" s="36">
        <v>0.0</v>
      </c>
      <c r="H256" s="74">
        <v>0.0</v>
      </c>
      <c r="I256" s="74">
        <f t="shared" si="4"/>
        <v>0.59</v>
      </c>
      <c r="J256" s="48" t="s">
        <v>880</v>
      </c>
    </row>
    <row r="257">
      <c r="A257" s="76" t="s">
        <v>13</v>
      </c>
      <c r="B257" s="71" t="s">
        <v>887</v>
      </c>
      <c r="C257" s="71">
        <f t="shared" si="6"/>
        <v>45282</v>
      </c>
      <c r="D257" s="73" t="str">
        <f t="shared" si="2"/>
        <v>2023-12</v>
      </c>
      <c r="E257" s="36">
        <v>165.0</v>
      </c>
      <c r="F257" s="37">
        <v>3.0</v>
      </c>
      <c r="G257" s="36">
        <v>0.0</v>
      </c>
      <c r="H257" s="74">
        <v>0.0</v>
      </c>
      <c r="I257" s="74">
        <f t="shared" si="4"/>
        <v>1.82</v>
      </c>
      <c r="J257" s="48" t="s">
        <v>885</v>
      </c>
    </row>
    <row r="258">
      <c r="A258" s="76" t="s">
        <v>13</v>
      </c>
      <c r="B258" s="71" t="s">
        <v>891</v>
      </c>
      <c r="C258" s="71">
        <f t="shared" si="6"/>
        <v>45274</v>
      </c>
      <c r="D258" s="73" t="str">
        <f t="shared" si="2"/>
        <v>2023-12</v>
      </c>
      <c r="E258" s="36">
        <v>165.0</v>
      </c>
      <c r="F258" s="37">
        <v>2.0</v>
      </c>
      <c r="G258" s="36">
        <v>0.0</v>
      </c>
      <c r="H258" s="74">
        <v>1.0</v>
      </c>
      <c r="I258" s="74">
        <f t="shared" si="4"/>
        <v>1.82</v>
      </c>
      <c r="J258" s="48" t="s">
        <v>889</v>
      </c>
    </row>
    <row r="259">
      <c r="A259" s="76" t="s">
        <v>13</v>
      </c>
      <c r="B259" s="71" t="s">
        <v>896</v>
      </c>
      <c r="C259" s="71">
        <f t="shared" si="6"/>
        <v>45261</v>
      </c>
      <c r="D259" s="73" t="str">
        <f t="shared" si="2"/>
        <v>2023-12</v>
      </c>
      <c r="E259" s="36">
        <v>153.0</v>
      </c>
      <c r="F259" s="37">
        <v>0.0</v>
      </c>
      <c r="G259" s="36">
        <v>0.0</v>
      </c>
      <c r="H259" s="74">
        <v>0.0</v>
      </c>
      <c r="I259" s="74">
        <f t="shared" si="4"/>
        <v>0</v>
      </c>
      <c r="J259" s="48" t="s">
        <v>894</v>
      </c>
    </row>
    <row r="260">
      <c r="A260" s="76" t="s">
        <v>13</v>
      </c>
      <c r="B260" s="71" t="s">
        <v>901</v>
      </c>
      <c r="C260" s="71">
        <f t="shared" si="6"/>
        <v>45261</v>
      </c>
      <c r="D260" s="73" t="str">
        <f t="shared" si="2"/>
        <v>2023-12</v>
      </c>
      <c r="E260" s="36">
        <v>134.0</v>
      </c>
      <c r="F260" s="37">
        <v>1.0</v>
      </c>
      <c r="G260" s="36">
        <v>0.0</v>
      </c>
      <c r="H260" s="74">
        <v>0.0</v>
      </c>
      <c r="I260" s="74">
        <f t="shared" si="4"/>
        <v>0.75</v>
      </c>
      <c r="J260" s="48" t="s">
        <v>899</v>
      </c>
    </row>
    <row r="261">
      <c r="A261" s="76" t="s">
        <v>13</v>
      </c>
      <c r="B261" s="71" t="s">
        <v>906</v>
      </c>
      <c r="C261" s="71">
        <f t="shared" si="6"/>
        <v>45260</v>
      </c>
      <c r="D261" s="73" t="str">
        <f t="shared" si="2"/>
        <v>2023-11</v>
      </c>
      <c r="E261" s="36">
        <v>151.0</v>
      </c>
      <c r="F261" s="37">
        <v>2.0</v>
      </c>
      <c r="G261" s="36">
        <v>0.0</v>
      </c>
      <c r="H261" s="74">
        <v>1.0</v>
      </c>
      <c r="I261" s="74">
        <f t="shared" si="4"/>
        <v>1.99</v>
      </c>
      <c r="J261" s="48" t="s">
        <v>904</v>
      </c>
    </row>
    <row r="262">
      <c r="A262" s="76" t="s">
        <v>13</v>
      </c>
      <c r="B262" s="71" t="s">
        <v>868</v>
      </c>
      <c r="C262" s="71">
        <f t="shared" si="6"/>
        <v>45322</v>
      </c>
      <c r="D262" s="73" t="str">
        <f t="shared" si="2"/>
        <v>2024-01</v>
      </c>
      <c r="E262" s="36">
        <v>317.0</v>
      </c>
      <c r="F262" s="37">
        <v>3.0</v>
      </c>
      <c r="G262" s="36">
        <v>0.0</v>
      </c>
      <c r="H262" s="74">
        <v>0.0</v>
      </c>
      <c r="I262" s="74">
        <f t="shared" si="4"/>
        <v>0.95</v>
      </c>
      <c r="J262" s="48" t="s">
        <v>866</v>
      </c>
    </row>
    <row r="263">
      <c r="A263" s="76" t="s">
        <v>13</v>
      </c>
      <c r="B263" s="71" t="s">
        <v>873</v>
      </c>
      <c r="C263" s="71">
        <f t="shared" si="6"/>
        <v>45285</v>
      </c>
      <c r="D263" s="73" t="str">
        <f t="shared" si="2"/>
        <v>2023-12</v>
      </c>
      <c r="E263" s="36">
        <v>251.0</v>
      </c>
      <c r="F263" s="37">
        <v>0.0</v>
      </c>
      <c r="G263" s="36">
        <v>0.0</v>
      </c>
      <c r="H263" s="74">
        <v>0.0</v>
      </c>
      <c r="I263" s="74">
        <f t="shared" si="4"/>
        <v>0</v>
      </c>
      <c r="J263" s="48" t="s">
        <v>871</v>
      </c>
    </row>
    <row r="264">
      <c r="A264" s="76" t="s">
        <v>13</v>
      </c>
      <c r="B264" s="71" t="s">
        <v>877</v>
      </c>
      <c r="C264" s="71">
        <f t="shared" si="6"/>
        <v>45284</v>
      </c>
      <c r="D264" s="73" t="str">
        <f t="shared" si="2"/>
        <v>2023-12</v>
      </c>
      <c r="E264" s="36">
        <v>224.0</v>
      </c>
      <c r="F264" s="37">
        <v>1.0</v>
      </c>
      <c r="G264" s="36">
        <v>0.0</v>
      </c>
      <c r="H264" s="74">
        <v>0.0</v>
      </c>
      <c r="I264" s="74">
        <f t="shared" si="4"/>
        <v>0.45</v>
      </c>
      <c r="J264" s="48" t="s">
        <v>875</v>
      </c>
    </row>
    <row r="265">
      <c r="A265" s="76" t="s">
        <v>13</v>
      </c>
      <c r="B265" s="71" t="s">
        <v>882</v>
      </c>
      <c r="C265" s="71">
        <f t="shared" si="6"/>
        <v>45283</v>
      </c>
      <c r="D265" s="73" t="str">
        <f t="shared" si="2"/>
        <v>2023-12</v>
      </c>
      <c r="E265" s="36">
        <v>169.0</v>
      </c>
      <c r="F265" s="37">
        <v>1.0</v>
      </c>
      <c r="G265" s="36">
        <v>0.0</v>
      </c>
      <c r="H265" s="74">
        <v>0.0</v>
      </c>
      <c r="I265" s="74">
        <f t="shared" si="4"/>
        <v>0.59</v>
      </c>
      <c r="J265" s="48" t="s">
        <v>880</v>
      </c>
    </row>
    <row r="266">
      <c r="A266" s="76" t="s">
        <v>13</v>
      </c>
      <c r="B266" s="71" t="s">
        <v>887</v>
      </c>
      <c r="C266" s="71">
        <f t="shared" si="6"/>
        <v>45282</v>
      </c>
      <c r="D266" s="73" t="str">
        <f t="shared" si="2"/>
        <v>2023-12</v>
      </c>
      <c r="E266" s="36">
        <v>165.0</v>
      </c>
      <c r="F266" s="37">
        <v>3.0</v>
      </c>
      <c r="G266" s="36">
        <v>0.0</v>
      </c>
      <c r="H266" s="74">
        <v>0.0</v>
      </c>
      <c r="I266" s="74">
        <f t="shared" si="4"/>
        <v>1.82</v>
      </c>
      <c r="J266" s="48" t="s">
        <v>885</v>
      </c>
    </row>
    <row r="267">
      <c r="A267" s="76" t="s">
        <v>13</v>
      </c>
      <c r="B267" s="71" t="s">
        <v>891</v>
      </c>
      <c r="C267" s="71">
        <f t="shared" si="6"/>
        <v>45274</v>
      </c>
      <c r="D267" s="73" t="str">
        <f t="shared" si="2"/>
        <v>2023-12</v>
      </c>
      <c r="E267" s="36">
        <v>165.0</v>
      </c>
      <c r="F267" s="37">
        <v>2.0</v>
      </c>
      <c r="G267" s="36">
        <v>0.0</v>
      </c>
      <c r="H267" s="74">
        <v>1.0</v>
      </c>
      <c r="I267" s="74">
        <f t="shared" si="4"/>
        <v>1.82</v>
      </c>
      <c r="J267" s="48" t="s">
        <v>889</v>
      </c>
    </row>
    <row r="268">
      <c r="A268" s="76" t="s">
        <v>13</v>
      </c>
      <c r="B268" s="71" t="s">
        <v>896</v>
      </c>
      <c r="C268" s="71">
        <f t="shared" si="6"/>
        <v>45261</v>
      </c>
      <c r="D268" s="73" t="str">
        <f t="shared" si="2"/>
        <v>2023-12</v>
      </c>
      <c r="E268" s="36">
        <v>153.0</v>
      </c>
      <c r="F268" s="37">
        <v>0.0</v>
      </c>
      <c r="G268" s="36">
        <v>0.0</v>
      </c>
      <c r="H268" s="74">
        <v>0.0</v>
      </c>
      <c r="I268" s="74">
        <f t="shared" si="4"/>
        <v>0</v>
      </c>
      <c r="J268" s="48" t="s">
        <v>894</v>
      </c>
    </row>
    <row r="269">
      <c r="A269" s="76" t="s">
        <v>13</v>
      </c>
      <c r="B269" s="71" t="s">
        <v>901</v>
      </c>
      <c r="C269" s="71">
        <f t="shared" si="6"/>
        <v>45261</v>
      </c>
      <c r="D269" s="73" t="str">
        <f t="shared" si="2"/>
        <v>2023-12</v>
      </c>
      <c r="E269" s="36">
        <v>134.0</v>
      </c>
      <c r="F269" s="37">
        <v>1.0</v>
      </c>
      <c r="G269" s="36">
        <v>0.0</v>
      </c>
      <c r="H269" s="74">
        <v>0.0</v>
      </c>
      <c r="I269" s="74">
        <f t="shared" si="4"/>
        <v>0.75</v>
      </c>
      <c r="J269" s="48" t="s">
        <v>899</v>
      </c>
    </row>
    <row r="270">
      <c r="A270" s="76" t="s">
        <v>13</v>
      </c>
      <c r="B270" s="71" t="s">
        <v>906</v>
      </c>
      <c r="C270" s="71">
        <f t="shared" si="6"/>
        <v>45260</v>
      </c>
      <c r="D270" s="73" t="str">
        <f t="shared" si="2"/>
        <v>2023-11</v>
      </c>
      <c r="E270" s="36">
        <v>151.0</v>
      </c>
      <c r="F270" s="37">
        <v>2.0</v>
      </c>
      <c r="G270" s="36">
        <v>0.0</v>
      </c>
      <c r="H270" s="74">
        <v>1.0</v>
      </c>
      <c r="I270" s="74">
        <f t="shared" si="4"/>
        <v>1.99</v>
      </c>
      <c r="J270" s="48" t="s">
        <v>904</v>
      </c>
    </row>
    <row r="271">
      <c r="A271" s="76" t="s">
        <v>13</v>
      </c>
      <c r="B271" s="71" t="s">
        <v>868</v>
      </c>
      <c r="C271" s="71">
        <f t="shared" si="6"/>
        <v>45322</v>
      </c>
      <c r="D271" s="73" t="str">
        <f t="shared" si="2"/>
        <v>2024-01</v>
      </c>
      <c r="E271" s="36">
        <v>317.0</v>
      </c>
      <c r="F271" s="37">
        <v>3.0</v>
      </c>
      <c r="G271" s="36">
        <v>0.0</v>
      </c>
      <c r="H271" s="74">
        <v>0.0</v>
      </c>
      <c r="I271" s="74">
        <f t="shared" si="4"/>
        <v>0.95</v>
      </c>
      <c r="J271" s="48" t="s">
        <v>866</v>
      </c>
    </row>
    <row r="272">
      <c r="A272" s="76" t="s">
        <v>13</v>
      </c>
      <c r="B272" s="71" t="s">
        <v>873</v>
      </c>
      <c r="C272" s="71">
        <f t="shared" si="6"/>
        <v>45285</v>
      </c>
      <c r="D272" s="73" t="str">
        <f t="shared" si="2"/>
        <v>2023-12</v>
      </c>
      <c r="E272" s="36">
        <v>251.0</v>
      </c>
      <c r="F272" s="37">
        <v>0.0</v>
      </c>
      <c r="G272" s="36">
        <v>0.0</v>
      </c>
      <c r="H272" s="74">
        <v>0.0</v>
      </c>
      <c r="I272" s="74">
        <f t="shared" si="4"/>
        <v>0</v>
      </c>
      <c r="J272" s="48" t="s">
        <v>871</v>
      </c>
    </row>
    <row r="273">
      <c r="A273" s="76" t="s">
        <v>13</v>
      </c>
      <c r="B273" s="71" t="s">
        <v>877</v>
      </c>
      <c r="C273" s="71">
        <f t="shared" si="6"/>
        <v>45284</v>
      </c>
      <c r="D273" s="73" t="str">
        <f t="shared" si="2"/>
        <v>2023-12</v>
      </c>
      <c r="E273" s="36">
        <v>224.0</v>
      </c>
      <c r="F273" s="37">
        <v>1.0</v>
      </c>
      <c r="G273" s="36">
        <v>0.0</v>
      </c>
      <c r="H273" s="74">
        <v>0.0</v>
      </c>
      <c r="I273" s="74">
        <f t="shared" si="4"/>
        <v>0.45</v>
      </c>
      <c r="J273" s="48" t="s">
        <v>875</v>
      </c>
    </row>
    <row r="274">
      <c r="A274" s="76" t="s">
        <v>13</v>
      </c>
      <c r="B274" s="71" t="s">
        <v>882</v>
      </c>
      <c r="C274" s="71">
        <f t="shared" si="6"/>
        <v>45283</v>
      </c>
      <c r="D274" s="73" t="str">
        <f t="shared" si="2"/>
        <v>2023-12</v>
      </c>
      <c r="E274" s="36">
        <v>169.0</v>
      </c>
      <c r="F274" s="37">
        <v>1.0</v>
      </c>
      <c r="G274" s="36">
        <v>0.0</v>
      </c>
      <c r="H274" s="74">
        <v>0.0</v>
      </c>
      <c r="I274" s="74">
        <f t="shared" si="4"/>
        <v>0.59</v>
      </c>
      <c r="J274" s="48" t="s">
        <v>880</v>
      </c>
    </row>
    <row r="275">
      <c r="A275" s="76" t="s">
        <v>13</v>
      </c>
      <c r="B275" s="71" t="s">
        <v>887</v>
      </c>
      <c r="C275" s="71">
        <f t="shared" si="6"/>
        <v>45282</v>
      </c>
      <c r="D275" s="73" t="str">
        <f t="shared" si="2"/>
        <v>2023-12</v>
      </c>
      <c r="E275" s="36">
        <v>165.0</v>
      </c>
      <c r="F275" s="37">
        <v>3.0</v>
      </c>
      <c r="G275" s="36">
        <v>0.0</v>
      </c>
      <c r="H275" s="74">
        <v>0.0</v>
      </c>
      <c r="I275" s="74">
        <f t="shared" si="4"/>
        <v>1.82</v>
      </c>
      <c r="J275" s="48" t="s">
        <v>885</v>
      </c>
    </row>
    <row r="276">
      <c r="A276" s="76" t="s">
        <v>13</v>
      </c>
      <c r="B276" s="71" t="s">
        <v>891</v>
      </c>
      <c r="C276" s="71">
        <f t="shared" si="6"/>
        <v>45274</v>
      </c>
      <c r="D276" s="73" t="str">
        <f t="shared" si="2"/>
        <v>2023-12</v>
      </c>
      <c r="E276" s="36">
        <v>165.0</v>
      </c>
      <c r="F276" s="37">
        <v>2.0</v>
      </c>
      <c r="G276" s="36">
        <v>0.0</v>
      </c>
      <c r="H276" s="74">
        <v>1.0</v>
      </c>
      <c r="I276" s="74">
        <f t="shared" si="4"/>
        <v>1.82</v>
      </c>
      <c r="J276" s="48" t="s">
        <v>889</v>
      </c>
    </row>
    <row r="277">
      <c r="A277" s="76" t="s">
        <v>13</v>
      </c>
      <c r="B277" s="71" t="s">
        <v>896</v>
      </c>
      <c r="C277" s="71">
        <f t="shared" si="6"/>
        <v>45261</v>
      </c>
      <c r="D277" s="73" t="str">
        <f t="shared" si="2"/>
        <v>2023-12</v>
      </c>
      <c r="E277" s="36">
        <v>153.0</v>
      </c>
      <c r="F277" s="37">
        <v>0.0</v>
      </c>
      <c r="G277" s="36">
        <v>0.0</v>
      </c>
      <c r="H277" s="74">
        <v>0.0</v>
      </c>
      <c r="I277" s="74">
        <f t="shared" si="4"/>
        <v>0</v>
      </c>
      <c r="J277" s="48" t="s">
        <v>894</v>
      </c>
    </row>
    <row r="278">
      <c r="A278" s="76" t="s">
        <v>13</v>
      </c>
      <c r="B278" s="71" t="s">
        <v>901</v>
      </c>
      <c r="C278" s="71">
        <f t="shared" si="6"/>
        <v>45261</v>
      </c>
      <c r="D278" s="73" t="str">
        <f t="shared" si="2"/>
        <v>2023-12</v>
      </c>
      <c r="E278" s="36">
        <v>134.0</v>
      </c>
      <c r="F278" s="37">
        <v>1.0</v>
      </c>
      <c r="G278" s="36">
        <v>0.0</v>
      </c>
      <c r="H278" s="74">
        <v>0.0</v>
      </c>
      <c r="I278" s="74">
        <f t="shared" si="4"/>
        <v>0.75</v>
      </c>
      <c r="J278" s="48" t="s">
        <v>899</v>
      </c>
    </row>
    <row r="279">
      <c r="A279" s="76" t="s">
        <v>13</v>
      </c>
      <c r="B279" s="71" t="s">
        <v>906</v>
      </c>
      <c r="C279" s="71">
        <f t="shared" si="6"/>
        <v>45260</v>
      </c>
      <c r="D279" s="73" t="str">
        <f t="shared" si="2"/>
        <v>2023-11</v>
      </c>
      <c r="E279" s="36">
        <v>151.0</v>
      </c>
      <c r="F279" s="37">
        <v>2.0</v>
      </c>
      <c r="G279" s="36">
        <v>0.0</v>
      </c>
      <c r="H279" s="74">
        <v>1.0</v>
      </c>
      <c r="I279" s="74">
        <f t="shared" si="4"/>
        <v>1.99</v>
      </c>
      <c r="J279" s="48" t="s">
        <v>904</v>
      </c>
    </row>
    <row r="280">
      <c r="A280" s="76" t="s">
        <v>13</v>
      </c>
      <c r="B280" s="71" t="s">
        <v>868</v>
      </c>
      <c r="C280" s="71">
        <f t="shared" si="6"/>
        <v>45322</v>
      </c>
      <c r="D280" s="73" t="str">
        <f t="shared" si="2"/>
        <v>2024-01</v>
      </c>
      <c r="E280" s="36">
        <v>317.0</v>
      </c>
      <c r="F280" s="37">
        <v>3.0</v>
      </c>
      <c r="G280" s="36">
        <v>0.0</v>
      </c>
      <c r="H280" s="74">
        <v>0.0</v>
      </c>
      <c r="I280" s="74">
        <f t="shared" si="4"/>
        <v>0.95</v>
      </c>
      <c r="J280" s="48" t="s">
        <v>866</v>
      </c>
    </row>
    <row r="281">
      <c r="A281" s="76" t="s">
        <v>13</v>
      </c>
      <c r="B281" s="71" t="s">
        <v>873</v>
      </c>
      <c r="C281" s="71">
        <f t="shared" si="6"/>
        <v>45285</v>
      </c>
      <c r="D281" s="73" t="str">
        <f t="shared" si="2"/>
        <v>2023-12</v>
      </c>
      <c r="E281" s="36">
        <v>251.0</v>
      </c>
      <c r="F281" s="37">
        <v>0.0</v>
      </c>
      <c r="G281" s="36">
        <v>0.0</v>
      </c>
      <c r="H281" s="74">
        <v>0.0</v>
      </c>
      <c r="I281" s="74">
        <f t="shared" si="4"/>
        <v>0</v>
      </c>
      <c r="J281" s="48" t="s">
        <v>871</v>
      </c>
    </row>
    <row r="282">
      <c r="A282" s="76" t="s">
        <v>13</v>
      </c>
      <c r="B282" s="71" t="s">
        <v>877</v>
      </c>
      <c r="C282" s="71">
        <f t="shared" si="6"/>
        <v>45284</v>
      </c>
      <c r="D282" s="73" t="str">
        <f t="shared" si="2"/>
        <v>2023-12</v>
      </c>
      <c r="E282" s="36">
        <v>224.0</v>
      </c>
      <c r="F282" s="37">
        <v>1.0</v>
      </c>
      <c r="G282" s="36">
        <v>0.0</v>
      </c>
      <c r="H282" s="74">
        <v>0.0</v>
      </c>
      <c r="I282" s="74">
        <f t="shared" si="4"/>
        <v>0.45</v>
      </c>
      <c r="J282" s="48" t="s">
        <v>875</v>
      </c>
    </row>
    <row r="283">
      <c r="A283" s="76" t="s">
        <v>13</v>
      </c>
      <c r="B283" s="71" t="s">
        <v>882</v>
      </c>
      <c r="C283" s="71">
        <f t="shared" si="6"/>
        <v>45283</v>
      </c>
      <c r="D283" s="73" t="str">
        <f t="shared" si="2"/>
        <v>2023-12</v>
      </c>
      <c r="E283" s="36">
        <v>169.0</v>
      </c>
      <c r="F283" s="37">
        <v>1.0</v>
      </c>
      <c r="G283" s="36">
        <v>0.0</v>
      </c>
      <c r="H283" s="74">
        <v>0.0</v>
      </c>
      <c r="I283" s="74">
        <f t="shared" si="4"/>
        <v>0.59</v>
      </c>
      <c r="J283" s="48" t="s">
        <v>880</v>
      </c>
    </row>
    <row r="284">
      <c r="A284" s="76" t="s">
        <v>13</v>
      </c>
      <c r="B284" s="71" t="s">
        <v>887</v>
      </c>
      <c r="C284" s="71">
        <f t="shared" si="6"/>
        <v>45282</v>
      </c>
      <c r="D284" s="73" t="str">
        <f t="shared" si="2"/>
        <v>2023-12</v>
      </c>
      <c r="E284" s="36">
        <v>165.0</v>
      </c>
      <c r="F284" s="37">
        <v>3.0</v>
      </c>
      <c r="G284" s="36">
        <v>0.0</v>
      </c>
      <c r="H284" s="74">
        <v>0.0</v>
      </c>
      <c r="I284" s="74">
        <f t="shared" si="4"/>
        <v>1.82</v>
      </c>
      <c r="J284" s="48" t="s">
        <v>885</v>
      </c>
    </row>
    <row r="285">
      <c r="A285" s="76" t="s">
        <v>13</v>
      </c>
      <c r="B285" s="71" t="s">
        <v>891</v>
      </c>
      <c r="C285" s="71">
        <f t="shared" si="6"/>
        <v>45274</v>
      </c>
      <c r="D285" s="73" t="str">
        <f t="shared" si="2"/>
        <v>2023-12</v>
      </c>
      <c r="E285" s="36">
        <v>165.0</v>
      </c>
      <c r="F285" s="37">
        <v>2.0</v>
      </c>
      <c r="G285" s="36">
        <v>0.0</v>
      </c>
      <c r="H285" s="74">
        <v>1.0</v>
      </c>
      <c r="I285" s="74">
        <f t="shared" si="4"/>
        <v>1.82</v>
      </c>
      <c r="J285" s="48" t="s">
        <v>889</v>
      </c>
    </row>
    <row r="286">
      <c r="A286" s="76" t="s">
        <v>13</v>
      </c>
      <c r="B286" s="71" t="s">
        <v>896</v>
      </c>
      <c r="C286" s="71">
        <f t="shared" si="6"/>
        <v>45261</v>
      </c>
      <c r="D286" s="73" t="str">
        <f t="shared" si="2"/>
        <v>2023-12</v>
      </c>
      <c r="E286" s="36">
        <v>153.0</v>
      </c>
      <c r="F286" s="37">
        <v>0.0</v>
      </c>
      <c r="G286" s="36">
        <v>0.0</v>
      </c>
      <c r="H286" s="74">
        <v>0.0</v>
      </c>
      <c r="I286" s="74">
        <f t="shared" si="4"/>
        <v>0</v>
      </c>
      <c r="J286" s="48" t="s">
        <v>894</v>
      </c>
    </row>
    <row r="287">
      <c r="A287" s="76" t="s">
        <v>13</v>
      </c>
      <c r="B287" s="71" t="s">
        <v>901</v>
      </c>
      <c r="C287" s="71">
        <f t="shared" si="6"/>
        <v>45261</v>
      </c>
      <c r="D287" s="73" t="str">
        <f t="shared" si="2"/>
        <v>2023-12</v>
      </c>
      <c r="E287" s="36">
        <v>134.0</v>
      </c>
      <c r="F287" s="37">
        <v>1.0</v>
      </c>
      <c r="G287" s="36">
        <v>0.0</v>
      </c>
      <c r="H287" s="74">
        <v>0.0</v>
      </c>
      <c r="I287" s="74">
        <f t="shared" si="4"/>
        <v>0.75</v>
      </c>
      <c r="J287" s="48" t="s">
        <v>899</v>
      </c>
    </row>
    <row r="288">
      <c r="A288" s="76" t="s">
        <v>13</v>
      </c>
      <c r="B288" s="71" t="s">
        <v>906</v>
      </c>
      <c r="C288" s="71">
        <f t="shared" si="6"/>
        <v>45260</v>
      </c>
      <c r="D288" s="73" t="str">
        <f t="shared" si="2"/>
        <v>2023-11</v>
      </c>
      <c r="E288" s="36">
        <v>151.0</v>
      </c>
      <c r="F288" s="37">
        <v>2.0</v>
      </c>
      <c r="G288" s="36">
        <v>0.0</v>
      </c>
      <c r="H288" s="74">
        <v>1.0</v>
      </c>
      <c r="I288" s="74">
        <f t="shared" si="4"/>
        <v>1.99</v>
      </c>
      <c r="J288" s="48" t="s">
        <v>904</v>
      </c>
    </row>
    <row r="289">
      <c r="A289" s="76" t="s">
        <v>13</v>
      </c>
      <c r="B289" s="71" t="s">
        <v>868</v>
      </c>
      <c r="C289" s="71">
        <f t="shared" si="6"/>
        <v>45322</v>
      </c>
      <c r="D289" s="73" t="str">
        <f t="shared" si="2"/>
        <v>2024-01</v>
      </c>
      <c r="E289" s="36">
        <v>317.0</v>
      </c>
      <c r="F289" s="37">
        <v>3.0</v>
      </c>
      <c r="G289" s="36">
        <v>0.0</v>
      </c>
      <c r="H289" s="74">
        <v>0.0</v>
      </c>
      <c r="I289" s="74">
        <f t="shared" si="4"/>
        <v>0.95</v>
      </c>
      <c r="J289" s="48" t="s">
        <v>866</v>
      </c>
    </row>
    <row r="290">
      <c r="A290" s="76" t="s">
        <v>13</v>
      </c>
      <c r="B290" s="71" t="s">
        <v>873</v>
      </c>
      <c r="C290" s="71">
        <f t="shared" si="6"/>
        <v>45285</v>
      </c>
      <c r="D290" s="73" t="str">
        <f t="shared" si="2"/>
        <v>2023-12</v>
      </c>
      <c r="E290" s="36">
        <v>251.0</v>
      </c>
      <c r="F290" s="37">
        <v>0.0</v>
      </c>
      <c r="G290" s="36">
        <v>0.0</v>
      </c>
      <c r="H290" s="74">
        <v>0.0</v>
      </c>
      <c r="I290" s="74">
        <f t="shared" si="4"/>
        <v>0</v>
      </c>
      <c r="J290" s="48" t="s">
        <v>871</v>
      </c>
    </row>
    <row r="291">
      <c r="A291" s="76" t="s">
        <v>13</v>
      </c>
      <c r="B291" s="71" t="s">
        <v>877</v>
      </c>
      <c r="C291" s="71">
        <f t="shared" si="6"/>
        <v>45284</v>
      </c>
      <c r="D291" s="73" t="str">
        <f t="shared" si="2"/>
        <v>2023-12</v>
      </c>
      <c r="E291" s="36">
        <v>224.0</v>
      </c>
      <c r="F291" s="37">
        <v>1.0</v>
      </c>
      <c r="G291" s="36">
        <v>0.0</v>
      </c>
      <c r="H291" s="74">
        <v>0.0</v>
      </c>
      <c r="I291" s="74">
        <f t="shared" si="4"/>
        <v>0.45</v>
      </c>
      <c r="J291" s="48" t="s">
        <v>875</v>
      </c>
    </row>
    <row r="292">
      <c r="A292" s="76" t="s">
        <v>13</v>
      </c>
      <c r="B292" s="71" t="s">
        <v>882</v>
      </c>
      <c r="C292" s="71">
        <f t="shared" si="6"/>
        <v>45283</v>
      </c>
      <c r="D292" s="73" t="str">
        <f t="shared" si="2"/>
        <v>2023-12</v>
      </c>
      <c r="E292" s="36">
        <v>169.0</v>
      </c>
      <c r="F292" s="37">
        <v>1.0</v>
      </c>
      <c r="G292" s="36">
        <v>0.0</v>
      </c>
      <c r="H292" s="74">
        <v>0.0</v>
      </c>
      <c r="I292" s="74">
        <f t="shared" si="4"/>
        <v>0.59</v>
      </c>
      <c r="J292" s="48" t="s">
        <v>880</v>
      </c>
    </row>
    <row r="293">
      <c r="A293" s="76" t="s">
        <v>13</v>
      </c>
      <c r="B293" s="71" t="s">
        <v>887</v>
      </c>
      <c r="C293" s="71">
        <f t="shared" si="6"/>
        <v>45282</v>
      </c>
      <c r="D293" s="73" t="str">
        <f t="shared" si="2"/>
        <v>2023-12</v>
      </c>
      <c r="E293" s="36">
        <v>165.0</v>
      </c>
      <c r="F293" s="37">
        <v>3.0</v>
      </c>
      <c r="G293" s="36">
        <v>0.0</v>
      </c>
      <c r="H293" s="74">
        <v>0.0</v>
      </c>
      <c r="I293" s="74">
        <f t="shared" si="4"/>
        <v>1.82</v>
      </c>
      <c r="J293" s="48" t="s">
        <v>885</v>
      </c>
    </row>
    <row r="294">
      <c r="A294" s="76" t="s">
        <v>13</v>
      </c>
      <c r="B294" s="71" t="s">
        <v>891</v>
      </c>
      <c r="C294" s="71">
        <f t="shared" si="6"/>
        <v>45274</v>
      </c>
      <c r="D294" s="73" t="str">
        <f t="shared" si="2"/>
        <v>2023-12</v>
      </c>
      <c r="E294" s="36">
        <v>165.0</v>
      </c>
      <c r="F294" s="37">
        <v>2.0</v>
      </c>
      <c r="G294" s="36">
        <v>0.0</v>
      </c>
      <c r="H294" s="74">
        <v>1.0</v>
      </c>
      <c r="I294" s="74">
        <f t="shared" si="4"/>
        <v>1.82</v>
      </c>
      <c r="J294" s="48" t="s">
        <v>889</v>
      </c>
    </row>
    <row r="295">
      <c r="A295" s="76" t="s">
        <v>13</v>
      </c>
      <c r="B295" s="71" t="s">
        <v>896</v>
      </c>
      <c r="C295" s="71">
        <f t="shared" si="6"/>
        <v>45261</v>
      </c>
      <c r="D295" s="73" t="str">
        <f t="shared" si="2"/>
        <v>2023-12</v>
      </c>
      <c r="E295" s="36">
        <v>153.0</v>
      </c>
      <c r="F295" s="37">
        <v>0.0</v>
      </c>
      <c r="G295" s="36">
        <v>0.0</v>
      </c>
      <c r="H295" s="74">
        <v>0.0</v>
      </c>
      <c r="I295" s="74">
        <f t="shared" si="4"/>
        <v>0</v>
      </c>
      <c r="J295" s="48" t="s">
        <v>894</v>
      </c>
    </row>
    <row r="296">
      <c r="A296" s="76" t="s">
        <v>13</v>
      </c>
      <c r="B296" s="71" t="s">
        <v>901</v>
      </c>
      <c r="C296" s="71">
        <f t="shared" si="6"/>
        <v>45261</v>
      </c>
      <c r="D296" s="73" t="str">
        <f t="shared" si="2"/>
        <v>2023-12</v>
      </c>
      <c r="E296" s="36">
        <v>134.0</v>
      </c>
      <c r="F296" s="37">
        <v>1.0</v>
      </c>
      <c r="G296" s="36">
        <v>0.0</v>
      </c>
      <c r="H296" s="74">
        <v>0.0</v>
      </c>
      <c r="I296" s="74">
        <f t="shared" si="4"/>
        <v>0.75</v>
      </c>
      <c r="J296" s="48" t="s">
        <v>899</v>
      </c>
    </row>
    <row r="297">
      <c r="A297" s="76" t="s">
        <v>13</v>
      </c>
      <c r="B297" s="71" t="s">
        <v>906</v>
      </c>
      <c r="C297" s="71">
        <f t="shared" si="6"/>
        <v>45260</v>
      </c>
      <c r="D297" s="73" t="str">
        <f t="shared" si="2"/>
        <v>2023-11</v>
      </c>
      <c r="E297" s="36">
        <v>151.0</v>
      </c>
      <c r="F297" s="37">
        <v>2.0</v>
      </c>
      <c r="G297" s="36">
        <v>0.0</v>
      </c>
      <c r="H297" s="74">
        <v>1.0</v>
      </c>
      <c r="I297" s="74">
        <f t="shared" si="4"/>
        <v>1.99</v>
      </c>
      <c r="J297" s="48" t="s">
        <v>904</v>
      </c>
    </row>
    <row r="298">
      <c r="A298" s="76" t="s">
        <v>13</v>
      </c>
      <c r="B298" s="71" t="s">
        <v>868</v>
      </c>
      <c r="C298" s="71">
        <f t="shared" si="6"/>
        <v>45322</v>
      </c>
      <c r="D298" s="73" t="str">
        <f t="shared" si="2"/>
        <v>2024-01</v>
      </c>
      <c r="E298" s="36">
        <v>317.0</v>
      </c>
      <c r="F298" s="37">
        <v>3.0</v>
      </c>
      <c r="G298" s="36">
        <v>0.0</v>
      </c>
      <c r="H298" s="74">
        <v>0.0</v>
      </c>
      <c r="I298" s="74">
        <f t="shared" si="4"/>
        <v>0.95</v>
      </c>
      <c r="J298" s="48" t="s">
        <v>866</v>
      </c>
    </row>
    <row r="299">
      <c r="A299" s="76" t="s">
        <v>13</v>
      </c>
      <c r="B299" s="71" t="s">
        <v>873</v>
      </c>
      <c r="C299" s="71">
        <f t="shared" si="6"/>
        <v>45285</v>
      </c>
      <c r="D299" s="73" t="str">
        <f t="shared" si="2"/>
        <v>2023-12</v>
      </c>
      <c r="E299" s="36">
        <v>251.0</v>
      </c>
      <c r="F299" s="37">
        <v>0.0</v>
      </c>
      <c r="G299" s="36">
        <v>0.0</v>
      </c>
      <c r="H299" s="74">
        <v>0.0</v>
      </c>
      <c r="I299" s="74">
        <f t="shared" si="4"/>
        <v>0</v>
      </c>
      <c r="J299" s="48" t="s">
        <v>871</v>
      </c>
    </row>
    <row r="300">
      <c r="A300" s="76" t="s">
        <v>13</v>
      </c>
      <c r="B300" s="71" t="s">
        <v>877</v>
      </c>
      <c r="C300" s="71">
        <f t="shared" si="6"/>
        <v>45284</v>
      </c>
      <c r="D300" s="73" t="str">
        <f t="shared" si="2"/>
        <v>2023-12</v>
      </c>
      <c r="E300" s="36">
        <v>224.0</v>
      </c>
      <c r="F300" s="37">
        <v>1.0</v>
      </c>
      <c r="G300" s="36">
        <v>0.0</v>
      </c>
      <c r="H300" s="74">
        <v>0.0</v>
      </c>
      <c r="I300" s="74">
        <f t="shared" si="4"/>
        <v>0.45</v>
      </c>
      <c r="J300" s="48" t="s">
        <v>875</v>
      </c>
    </row>
    <row r="301">
      <c r="A301" s="76" t="s">
        <v>13</v>
      </c>
      <c r="B301" s="71" t="s">
        <v>882</v>
      </c>
      <c r="C301" s="71">
        <f t="shared" si="6"/>
        <v>45283</v>
      </c>
      <c r="D301" s="73" t="str">
        <f t="shared" si="2"/>
        <v>2023-12</v>
      </c>
      <c r="E301" s="36">
        <v>169.0</v>
      </c>
      <c r="F301" s="37">
        <v>1.0</v>
      </c>
      <c r="G301" s="36">
        <v>0.0</v>
      </c>
      <c r="H301" s="74">
        <v>0.0</v>
      </c>
      <c r="I301" s="74">
        <f t="shared" si="4"/>
        <v>0.59</v>
      </c>
      <c r="J301" s="48" t="s">
        <v>880</v>
      </c>
    </row>
    <row r="302">
      <c r="A302" s="76" t="s">
        <v>13</v>
      </c>
      <c r="B302" s="71" t="s">
        <v>887</v>
      </c>
      <c r="C302" s="71">
        <f t="shared" si="6"/>
        <v>45282</v>
      </c>
      <c r="D302" s="73" t="str">
        <f t="shared" si="2"/>
        <v>2023-12</v>
      </c>
      <c r="E302" s="36">
        <v>165.0</v>
      </c>
      <c r="F302" s="37">
        <v>3.0</v>
      </c>
      <c r="G302" s="36">
        <v>0.0</v>
      </c>
      <c r="H302" s="74">
        <v>0.0</v>
      </c>
      <c r="I302" s="74">
        <f t="shared" si="4"/>
        <v>1.82</v>
      </c>
      <c r="J302" s="48" t="s">
        <v>885</v>
      </c>
    </row>
    <row r="303">
      <c r="A303" s="76" t="s">
        <v>13</v>
      </c>
      <c r="B303" s="71" t="s">
        <v>891</v>
      </c>
      <c r="C303" s="71">
        <f t="shared" si="6"/>
        <v>45274</v>
      </c>
      <c r="D303" s="73" t="str">
        <f t="shared" si="2"/>
        <v>2023-12</v>
      </c>
      <c r="E303" s="36">
        <v>165.0</v>
      </c>
      <c r="F303" s="37">
        <v>2.0</v>
      </c>
      <c r="G303" s="36">
        <v>0.0</v>
      </c>
      <c r="H303" s="74">
        <v>1.0</v>
      </c>
      <c r="I303" s="74">
        <f t="shared" si="4"/>
        <v>1.82</v>
      </c>
      <c r="J303" s="48" t="s">
        <v>889</v>
      </c>
    </row>
    <row r="304">
      <c r="A304" s="76" t="s">
        <v>13</v>
      </c>
      <c r="B304" s="71" t="s">
        <v>896</v>
      </c>
      <c r="C304" s="71">
        <f t="shared" si="6"/>
        <v>45261</v>
      </c>
      <c r="D304" s="73" t="str">
        <f t="shared" si="2"/>
        <v>2023-12</v>
      </c>
      <c r="E304" s="36">
        <v>153.0</v>
      </c>
      <c r="F304" s="37">
        <v>0.0</v>
      </c>
      <c r="G304" s="36">
        <v>0.0</v>
      </c>
      <c r="H304" s="74">
        <v>0.0</v>
      </c>
      <c r="I304" s="74">
        <f t="shared" si="4"/>
        <v>0</v>
      </c>
      <c r="J304" s="48" t="s">
        <v>894</v>
      </c>
    </row>
    <row r="305">
      <c r="A305" s="76" t="s">
        <v>13</v>
      </c>
      <c r="B305" s="71" t="s">
        <v>901</v>
      </c>
      <c r="C305" s="71">
        <f t="shared" si="6"/>
        <v>45261</v>
      </c>
      <c r="D305" s="73" t="str">
        <f t="shared" si="2"/>
        <v>2023-12</v>
      </c>
      <c r="E305" s="36">
        <v>134.0</v>
      </c>
      <c r="F305" s="37">
        <v>1.0</v>
      </c>
      <c r="G305" s="36">
        <v>0.0</v>
      </c>
      <c r="H305" s="74">
        <v>0.0</v>
      </c>
      <c r="I305" s="74">
        <f t="shared" si="4"/>
        <v>0.75</v>
      </c>
      <c r="J305" s="48" t="s">
        <v>899</v>
      </c>
    </row>
    <row r="306">
      <c r="A306" s="76" t="s">
        <v>13</v>
      </c>
      <c r="B306" s="71" t="s">
        <v>906</v>
      </c>
      <c r="C306" s="71">
        <f t="shared" si="6"/>
        <v>45260</v>
      </c>
      <c r="D306" s="73" t="str">
        <f t="shared" si="2"/>
        <v>2023-11</v>
      </c>
      <c r="E306" s="36">
        <v>151.0</v>
      </c>
      <c r="F306" s="37">
        <v>2.0</v>
      </c>
      <c r="G306" s="36">
        <v>0.0</v>
      </c>
      <c r="H306" s="74">
        <v>1.0</v>
      </c>
      <c r="I306" s="74">
        <f t="shared" si="4"/>
        <v>1.99</v>
      </c>
      <c r="J306" s="48" t="s">
        <v>904</v>
      </c>
    </row>
    <row r="307">
      <c r="A307" s="76" t="s">
        <v>13</v>
      </c>
      <c r="B307" s="71" t="s">
        <v>868</v>
      </c>
      <c r="C307" s="71">
        <f t="shared" si="6"/>
        <v>45322</v>
      </c>
      <c r="D307" s="73" t="str">
        <f t="shared" si="2"/>
        <v>2024-01</v>
      </c>
      <c r="E307" s="36">
        <v>316.0</v>
      </c>
      <c r="F307" s="37">
        <v>3.0</v>
      </c>
      <c r="G307" s="36">
        <v>0.0</v>
      </c>
      <c r="H307" s="74">
        <v>0.0</v>
      </c>
      <c r="I307" s="74">
        <f t="shared" si="4"/>
        <v>0.95</v>
      </c>
      <c r="J307" s="48" t="s">
        <v>866</v>
      </c>
    </row>
    <row r="308">
      <c r="A308" s="76" t="s">
        <v>13</v>
      </c>
      <c r="B308" s="71" t="s">
        <v>873</v>
      </c>
      <c r="C308" s="71">
        <f t="shared" si="6"/>
        <v>45285</v>
      </c>
      <c r="D308" s="73" t="str">
        <f t="shared" si="2"/>
        <v>2023-12</v>
      </c>
      <c r="E308" s="36">
        <v>251.0</v>
      </c>
      <c r="F308" s="37">
        <v>0.0</v>
      </c>
      <c r="G308" s="36">
        <v>0.0</v>
      </c>
      <c r="H308" s="74">
        <v>0.0</v>
      </c>
      <c r="I308" s="74">
        <f t="shared" si="4"/>
        <v>0</v>
      </c>
      <c r="J308" s="48" t="s">
        <v>871</v>
      </c>
    </row>
    <row r="309">
      <c r="A309" s="76" t="s">
        <v>13</v>
      </c>
      <c r="B309" s="71" t="s">
        <v>877</v>
      </c>
      <c r="C309" s="71">
        <f t="shared" si="6"/>
        <v>45284</v>
      </c>
      <c r="D309" s="73" t="str">
        <f t="shared" si="2"/>
        <v>2023-12</v>
      </c>
      <c r="E309" s="36">
        <v>224.0</v>
      </c>
      <c r="F309" s="37">
        <v>1.0</v>
      </c>
      <c r="G309" s="36">
        <v>0.0</v>
      </c>
      <c r="H309" s="74">
        <v>0.0</v>
      </c>
      <c r="I309" s="74">
        <f t="shared" si="4"/>
        <v>0.45</v>
      </c>
      <c r="J309" s="48" t="s">
        <v>875</v>
      </c>
    </row>
    <row r="310">
      <c r="A310" s="76" t="s">
        <v>13</v>
      </c>
      <c r="B310" s="71" t="s">
        <v>882</v>
      </c>
      <c r="C310" s="71">
        <f t="shared" si="6"/>
        <v>45283</v>
      </c>
      <c r="D310" s="73" t="str">
        <f t="shared" si="2"/>
        <v>2023-12</v>
      </c>
      <c r="E310" s="36">
        <v>169.0</v>
      </c>
      <c r="F310" s="37">
        <v>1.0</v>
      </c>
      <c r="G310" s="36">
        <v>0.0</v>
      </c>
      <c r="H310" s="74">
        <v>0.0</v>
      </c>
      <c r="I310" s="74">
        <f t="shared" si="4"/>
        <v>0.59</v>
      </c>
      <c r="J310" s="48" t="s">
        <v>880</v>
      </c>
    </row>
    <row r="311">
      <c r="A311" s="76" t="s">
        <v>13</v>
      </c>
      <c r="B311" s="71" t="s">
        <v>887</v>
      </c>
      <c r="C311" s="71">
        <f t="shared" si="6"/>
        <v>45282</v>
      </c>
      <c r="D311" s="73" t="str">
        <f t="shared" si="2"/>
        <v>2023-12</v>
      </c>
      <c r="E311" s="36">
        <v>165.0</v>
      </c>
      <c r="F311" s="37">
        <v>3.0</v>
      </c>
      <c r="G311" s="36">
        <v>0.0</v>
      </c>
      <c r="H311" s="74">
        <v>0.0</v>
      </c>
      <c r="I311" s="74">
        <f t="shared" si="4"/>
        <v>1.82</v>
      </c>
      <c r="J311" s="48" t="s">
        <v>885</v>
      </c>
    </row>
    <row r="312">
      <c r="A312" s="76" t="s">
        <v>13</v>
      </c>
      <c r="B312" s="71" t="s">
        <v>891</v>
      </c>
      <c r="C312" s="71">
        <f t="shared" si="6"/>
        <v>45274</v>
      </c>
      <c r="D312" s="73" t="str">
        <f t="shared" si="2"/>
        <v>2023-12</v>
      </c>
      <c r="E312" s="36">
        <v>165.0</v>
      </c>
      <c r="F312" s="37">
        <v>2.0</v>
      </c>
      <c r="G312" s="36">
        <v>0.0</v>
      </c>
      <c r="H312" s="74">
        <v>1.0</v>
      </c>
      <c r="I312" s="74">
        <f t="shared" si="4"/>
        <v>1.82</v>
      </c>
      <c r="J312" s="48" t="s">
        <v>889</v>
      </c>
    </row>
    <row r="313">
      <c r="A313" s="76" t="s">
        <v>13</v>
      </c>
      <c r="B313" s="71" t="s">
        <v>896</v>
      </c>
      <c r="C313" s="71">
        <f t="shared" si="6"/>
        <v>45261</v>
      </c>
      <c r="D313" s="73" t="str">
        <f t="shared" si="2"/>
        <v>2023-12</v>
      </c>
      <c r="E313" s="36">
        <v>152.0</v>
      </c>
      <c r="F313" s="37">
        <v>0.0</v>
      </c>
      <c r="G313" s="36">
        <v>0.0</v>
      </c>
      <c r="H313" s="74">
        <v>0.0</v>
      </c>
      <c r="I313" s="74">
        <f t="shared" si="4"/>
        <v>0</v>
      </c>
      <c r="J313" s="48" t="s">
        <v>894</v>
      </c>
    </row>
    <row r="314">
      <c r="A314" s="76" t="s">
        <v>13</v>
      </c>
      <c r="B314" s="71" t="s">
        <v>901</v>
      </c>
      <c r="C314" s="71">
        <f t="shared" si="6"/>
        <v>45261</v>
      </c>
      <c r="D314" s="73" t="str">
        <f t="shared" si="2"/>
        <v>2023-12</v>
      </c>
      <c r="E314" s="36">
        <v>134.0</v>
      </c>
      <c r="F314" s="37">
        <v>1.0</v>
      </c>
      <c r="G314" s="36">
        <v>0.0</v>
      </c>
      <c r="H314" s="74">
        <v>0.0</v>
      </c>
      <c r="I314" s="74">
        <f t="shared" si="4"/>
        <v>0.75</v>
      </c>
      <c r="J314" s="48" t="s">
        <v>899</v>
      </c>
    </row>
    <row r="315">
      <c r="A315" s="76" t="s">
        <v>13</v>
      </c>
      <c r="B315" s="71" t="s">
        <v>906</v>
      </c>
      <c r="C315" s="71">
        <f t="shared" si="6"/>
        <v>45260</v>
      </c>
      <c r="D315" s="73" t="str">
        <f t="shared" si="2"/>
        <v>2023-11</v>
      </c>
      <c r="E315" s="36">
        <v>151.0</v>
      </c>
      <c r="F315" s="37">
        <v>2.0</v>
      </c>
      <c r="G315" s="36">
        <v>0.0</v>
      </c>
      <c r="H315" s="74">
        <v>1.0</v>
      </c>
      <c r="I315" s="74">
        <f t="shared" si="4"/>
        <v>1.99</v>
      </c>
      <c r="J315" s="48" t="s">
        <v>904</v>
      </c>
    </row>
    <row r="316">
      <c r="A316" s="76" t="s">
        <v>13</v>
      </c>
      <c r="B316" s="71" t="s">
        <v>868</v>
      </c>
      <c r="C316" s="71">
        <f t="shared" si="6"/>
        <v>45322</v>
      </c>
      <c r="D316" s="73" t="str">
        <f t="shared" si="2"/>
        <v>2024-01</v>
      </c>
      <c r="E316" s="36">
        <v>316.0</v>
      </c>
      <c r="F316" s="37">
        <v>3.0</v>
      </c>
      <c r="G316" s="36">
        <v>0.0</v>
      </c>
      <c r="H316" s="74">
        <v>0.0</v>
      </c>
      <c r="I316" s="74">
        <f t="shared" si="4"/>
        <v>0.95</v>
      </c>
      <c r="J316" s="48" t="s">
        <v>866</v>
      </c>
    </row>
    <row r="317">
      <c r="A317" s="76" t="s">
        <v>13</v>
      </c>
      <c r="B317" s="71" t="s">
        <v>873</v>
      </c>
      <c r="C317" s="71">
        <f t="shared" si="6"/>
        <v>45285</v>
      </c>
      <c r="D317" s="73" t="str">
        <f t="shared" si="2"/>
        <v>2023-12</v>
      </c>
      <c r="E317" s="36">
        <v>251.0</v>
      </c>
      <c r="F317" s="37">
        <v>0.0</v>
      </c>
      <c r="G317" s="36">
        <v>0.0</v>
      </c>
      <c r="H317" s="74">
        <v>0.0</v>
      </c>
      <c r="I317" s="74">
        <f t="shared" si="4"/>
        <v>0</v>
      </c>
      <c r="J317" s="48" t="s">
        <v>871</v>
      </c>
    </row>
    <row r="318">
      <c r="A318" s="76" t="s">
        <v>13</v>
      </c>
      <c r="B318" s="71" t="s">
        <v>877</v>
      </c>
      <c r="C318" s="71">
        <f t="shared" si="6"/>
        <v>45284</v>
      </c>
      <c r="D318" s="73" t="str">
        <f t="shared" si="2"/>
        <v>2023-12</v>
      </c>
      <c r="E318" s="36">
        <v>224.0</v>
      </c>
      <c r="F318" s="37">
        <v>1.0</v>
      </c>
      <c r="G318" s="36">
        <v>0.0</v>
      </c>
      <c r="H318" s="74">
        <v>0.0</v>
      </c>
      <c r="I318" s="74">
        <f t="shared" si="4"/>
        <v>0.45</v>
      </c>
      <c r="J318" s="48" t="s">
        <v>875</v>
      </c>
    </row>
    <row r="319">
      <c r="A319" s="76" t="s">
        <v>13</v>
      </c>
      <c r="B319" s="71" t="s">
        <v>882</v>
      </c>
      <c r="C319" s="71">
        <f t="shared" si="6"/>
        <v>45283</v>
      </c>
      <c r="D319" s="73" t="str">
        <f t="shared" si="2"/>
        <v>2023-12</v>
      </c>
      <c r="E319" s="36">
        <v>169.0</v>
      </c>
      <c r="F319" s="37">
        <v>1.0</v>
      </c>
      <c r="G319" s="36">
        <v>0.0</v>
      </c>
      <c r="H319" s="74">
        <v>0.0</v>
      </c>
      <c r="I319" s="74">
        <f t="shared" si="4"/>
        <v>0.59</v>
      </c>
      <c r="J319" s="48" t="s">
        <v>880</v>
      </c>
    </row>
    <row r="320">
      <c r="A320" s="76" t="s">
        <v>13</v>
      </c>
      <c r="B320" s="71" t="s">
        <v>887</v>
      </c>
      <c r="C320" s="71">
        <f t="shared" si="6"/>
        <v>45282</v>
      </c>
      <c r="D320" s="73" t="str">
        <f t="shared" si="2"/>
        <v>2023-12</v>
      </c>
      <c r="E320" s="36">
        <v>165.0</v>
      </c>
      <c r="F320" s="37">
        <v>3.0</v>
      </c>
      <c r="G320" s="36">
        <v>0.0</v>
      </c>
      <c r="H320" s="74">
        <v>0.0</v>
      </c>
      <c r="I320" s="74">
        <f t="shared" si="4"/>
        <v>1.82</v>
      </c>
      <c r="J320" s="48" t="s">
        <v>885</v>
      </c>
    </row>
    <row r="321">
      <c r="A321" s="76" t="s">
        <v>13</v>
      </c>
      <c r="B321" s="71" t="s">
        <v>891</v>
      </c>
      <c r="C321" s="71">
        <f t="shared" si="6"/>
        <v>45274</v>
      </c>
      <c r="D321" s="73" t="str">
        <f t="shared" si="2"/>
        <v>2023-12</v>
      </c>
      <c r="E321" s="36">
        <v>165.0</v>
      </c>
      <c r="F321" s="37">
        <v>2.0</v>
      </c>
      <c r="G321" s="36">
        <v>0.0</v>
      </c>
      <c r="H321" s="74">
        <v>1.0</v>
      </c>
      <c r="I321" s="74">
        <f t="shared" si="4"/>
        <v>1.82</v>
      </c>
      <c r="J321" s="48" t="s">
        <v>889</v>
      </c>
    </row>
    <row r="322">
      <c r="A322" s="76" t="s">
        <v>13</v>
      </c>
      <c r="B322" s="71" t="s">
        <v>896</v>
      </c>
      <c r="C322" s="71">
        <f t="shared" si="6"/>
        <v>45261</v>
      </c>
      <c r="D322" s="73" t="str">
        <f t="shared" si="2"/>
        <v>2023-12</v>
      </c>
      <c r="E322" s="36">
        <v>152.0</v>
      </c>
      <c r="F322" s="37">
        <v>0.0</v>
      </c>
      <c r="G322" s="36">
        <v>0.0</v>
      </c>
      <c r="H322" s="74">
        <v>0.0</v>
      </c>
      <c r="I322" s="74">
        <f t="shared" si="4"/>
        <v>0</v>
      </c>
      <c r="J322" s="48" t="s">
        <v>894</v>
      </c>
    </row>
    <row r="323">
      <c r="A323" s="76" t="s">
        <v>13</v>
      </c>
      <c r="B323" s="71" t="s">
        <v>901</v>
      </c>
      <c r="C323" s="71">
        <f t="shared" si="6"/>
        <v>45261</v>
      </c>
      <c r="D323" s="73" t="str">
        <f t="shared" si="2"/>
        <v>2023-12</v>
      </c>
      <c r="E323" s="36">
        <v>134.0</v>
      </c>
      <c r="F323" s="37">
        <v>1.0</v>
      </c>
      <c r="G323" s="36">
        <v>0.0</v>
      </c>
      <c r="H323" s="74">
        <v>0.0</v>
      </c>
      <c r="I323" s="74">
        <f t="shared" si="4"/>
        <v>0.75</v>
      </c>
      <c r="J323" s="48" t="s">
        <v>899</v>
      </c>
    </row>
    <row r="324">
      <c r="A324" s="76" t="s">
        <v>13</v>
      </c>
      <c r="B324" s="71" t="s">
        <v>906</v>
      </c>
      <c r="C324" s="71">
        <f t="shared" si="6"/>
        <v>45260</v>
      </c>
      <c r="D324" s="73" t="str">
        <f t="shared" si="2"/>
        <v>2023-11</v>
      </c>
      <c r="E324" s="36">
        <v>151.0</v>
      </c>
      <c r="F324" s="37">
        <v>2.0</v>
      </c>
      <c r="G324" s="36">
        <v>0.0</v>
      </c>
      <c r="H324" s="74">
        <v>1.0</v>
      </c>
      <c r="I324" s="74">
        <f t="shared" si="4"/>
        <v>1.99</v>
      </c>
      <c r="J324" s="48" t="s">
        <v>904</v>
      </c>
    </row>
    <row r="325">
      <c r="A325" s="76" t="s">
        <v>13</v>
      </c>
      <c r="B325" s="71" t="s">
        <v>868</v>
      </c>
      <c r="C325" s="71">
        <f t="shared" si="6"/>
        <v>45322</v>
      </c>
      <c r="D325" s="73" t="str">
        <f t="shared" si="2"/>
        <v>2024-01</v>
      </c>
      <c r="E325" s="36">
        <v>316.0</v>
      </c>
      <c r="F325" s="37">
        <v>3.0</v>
      </c>
      <c r="G325" s="36">
        <v>0.0</v>
      </c>
      <c r="H325" s="74">
        <v>0.0</v>
      </c>
      <c r="I325" s="74">
        <f t="shared" si="4"/>
        <v>0.95</v>
      </c>
      <c r="J325" s="48" t="s">
        <v>866</v>
      </c>
    </row>
    <row r="326">
      <c r="A326" s="76" t="s">
        <v>13</v>
      </c>
      <c r="B326" s="71" t="s">
        <v>873</v>
      </c>
      <c r="C326" s="71">
        <f t="shared" si="6"/>
        <v>45285</v>
      </c>
      <c r="D326" s="73" t="str">
        <f t="shared" si="2"/>
        <v>2023-12</v>
      </c>
      <c r="E326" s="36">
        <v>251.0</v>
      </c>
      <c r="F326" s="37">
        <v>0.0</v>
      </c>
      <c r="G326" s="36">
        <v>0.0</v>
      </c>
      <c r="H326" s="74">
        <v>0.0</v>
      </c>
      <c r="I326" s="74">
        <f t="shared" si="4"/>
        <v>0</v>
      </c>
      <c r="J326" s="48" t="s">
        <v>871</v>
      </c>
    </row>
    <row r="327">
      <c r="A327" s="76" t="s">
        <v>13</v>
      </c>
      <c r="B327" s="71" t="s">
        <v>877</v>
      </c>
      <c r="C327" s="71">
        <f t="shared" si="6"/>
        <v>45284</v>
      </c>
      <c r="D327" s="73" t="str">
        <f t="shared" si="2"/>
        <v>2023-12</v>
      </c>
      <c r="E327" s="36">
        <v>224.0</v>
      </c>
      <c r="F327" s="37">
        <v>1.0</v>
      </c>
      <c r="G327" s="36">
        <v>0.0</v>
      </c>
      <c r="H327" s="74">
        <v>0.0</v>
      </c>
      <c r="I327" s="74">
        <f t="shared" si="4"/>
        <v>0.45</v>
      </c>
      <c r="J327" s="48" t="s">
        <v>875</v>
      </c>
    </row>
    <row r="328">
      <c r="A328" s="76" t="s">
        <v>13</v>
      </c>
      <c r="B328" s="71" t="s">
        <v>882</v>
      </c>
      <c r="C328" s="71">
        <f t="shared" si="6"/>
        <v>45283</v>
      </c>
      <c r="D328" s="73" t="str">
        <f t="shared" si="2"/>
        <v>2023-12</v>
      </c>
      <c r="E328" s="36">
        <v>169.0</v>
      </c>
      <c r="F328" s="37">
        <v>1.0</v>
      </c>
      <c r="G328" s="36">
        <v>0.0</v>
      </c>
      <c r="H328" s="74">
        <v>0.0</v>
      </c>
      <c r="I328" s="74">
        <f t="shared" si="4"/>
        <v>0.59</v>
      </c>
      <c r="J328" s="48" t="s">
        <v>880</v>
      </c>
    </row>
    <row r="329">
      <c r="A329" s="76" t="s">
        <v>13</v>
      </c>
      <c r="B329" s="71" t="s">
        <v>887</v>
      </c>
      <c r="C329" s="71">
        <f t="shared" si="6"/>
        <v>45282</v>
      </c>
      <c r="D329" s="73" t="str">
        <f t="shared" si="2"/>
        <v>2023-12</v>
      </c>
      <c r="E329" s="36">
        <v>165.0</v>
      </c>
      <c r="F329" s="37">
        <v>3.0</v>
      </c>
      <c r="G329" s="36">
        <v>0.0</v>
      </c>
      <c r="H329" s="74">
        <v>0.0</v>
      </c>
      <c r="I329" s="74">
        <f t="shared" si="4"/>
        <v>1.82</v>
      </c>
      <c r="J329" s="48" t="s">
        <v>885</v>
      </c>
    </row>
    <row r="330">
      <c r="A330" s="76" t="s">
        <v>13</v>
      </c>
      <c r="B330" s="71" t="s">
        <v>891</v>
      </c>
      <c r="C330" s="71">
        <f t="shared" si="6"/>
        <v>45274</v>
      </c>
      <c r="D330" s="73" t="str">
        <f t="shared" si="2"/>
        <v>2023-12</v>
      </c>
      <c r="E330" s="36">
        <v>165.0</v>
      </c>
      <c r="F330" s="37">
        <v>2.0</v>
      </c>
      <c r="G330" s="36">
        <v>0.0</v>
      </c>
      <c r="H330" s="74">
        <v>1.0</v>
      </c>
      <c r="I330" s="74">
        <f t="shared" si="4"/>
        <v>1.82</v>
      </c>
      <c r="J330" s="48" t="s">
        <v>889</v>
      </c>
    </row>
    <row r="331">
      <c r="A331" s="76" t="s">
        <v>13</v>
      </c>
      <c r="B331" s="71" t="s">
        <v>896</v>
      </c>
      <c r="C331" s="71">
        <f t="shared" si="6"/>
        <v>45261</v>
      </c>
      <c r="D331" s="73" t="str">
        <f t="shared" si="2"/>
        <v>2023-12</v>
      </c>
      <c r="E331" s="36">
        <v>152.0</v>
      </c>
      <c r="F331" s="37">
        <v>0.0</v>
      </c>
      <c r="G331" s="36">
        <v>0.0</v>
      </c>
      <c r="H331" s="74">
        <v>0.0</v>
      </c>
      <c r="I331" s="74">
        <f t="shared" si="4"/>
        <v>0</v>
      </c>
      <c r="J331" s="48" t="s">
        <v>894</v>
      </c>
    </row>
    <row r="332">
      <c r="A332" s="76" t="s">
        <v>13</v>
      </c>
      <c r="B332" s="71" t="s">
        <v>901</v>
      </c>
      <c r="C332" s="71">
        <f t="shared" si="6"/>
        <v>45261</v>
      </c>
      <c r="D332" s="73" t="str">
        <f t="shared" si="2"/>
        <v>2023-12</v>
      </c>
      <c r="E332" s="36">
        <v>134.0</v>
      </c>
      <c r="F332" s="37">
        <v>1.0</v>
      </c>
      <c r="G332" s="36">
        <v>0.0</v>
      </c>
      <c r="H332" s="74">
        <v>0.0</v>
      </c>
      <c r="I332" s="74">
        <f t="shared" si="4"/>
        <v>0.75</v>
      </c>
      <c r="J332" s="48" t="s">
        <v>899</v>
      </c>
    </row>
    <row r="333">
      <c r="A333" s="76" t="s">
        <v>13</v>
      </c>
      <c r="B333" s="71" t="s">
        <v>906</v>
      </c>
      <c r="C333" s="71">
        <f t="shared" si="6"/>
        <v>45260</v>
      </c>
      <c r="D333" s="73" t="str">
        <f t="shared" si="2"/>
        <v>2023-11</v>
      </c>
      <c r="E333" s="36">
        <v>151.0</v>
      </c>
      <c r="F333" s="37">
        <v>2.0</v>
      </c>
      <c r="G333" s="36">
        <v>0.0</v>
      </c>
      <c r="H333" s="74">
        <v>1.0</v>
      </c>
      <c r="I333" s="74">
        <f t="shared" si="4"/>
        <v>1.99</v>
      </c>
      <c r="J333" s="48" t="s">
        <v>904</v>
      </c>
    </row>
    <row r="334">
      <c r="A334" s="76" t="s">
        <v>13</v>
      </c>
      <c r="B334" s="71" t="s">
        <v>868</v>
      </c>
      <c r="C334" s="71">
        <f t="shared" si="6"/>
        <v>45322</v>
      </c>
      <c r="D334" s="73" t="str">
        <f t="shared" si="2"/>
        <v>2024-01</v>
      </c>
      <c r="E334" s="36">
        <v>317.0</v>
      </c>
      <c r="F334" s="37">
        <v>3.0</v>
      </c>
      <c r="G334" s="36">
        <v>0.0</v>
      </c>
      <c r="H334" s="74">
        <v>0.0</v>
      </c>
      <c r="I334" s="74">
        <f t="shared" si="4"/>
        <v>0.95</v>
      </c>
      <c r="J334" s="48" t="s">
        <v>866</v>
      </c>
    </row>
    <row r="335">
      <c r="A335" s="76" t="s">
        <v>13</v>
      </c>
      <c r="B335" s="71" t="s">
        <v>873</v>
      </c>
      <c r="C335" s="71">
        <f t="shared" si="6"/>
        <v>45285</v>
      </c>
      <c r="D335" s="73" t="str">
        <f t="shared" si="2"/>
        <v>2023-12</v>
      </c>
      <c r="E335" s="36">
        <v>251.0</v>
      </c>
      <c r="F335" s="37">
        <v>0.0</v>
      </c>
      <c r="G335" s="36">
        <v>0.0</v>
      </c>
      <c r="H335" s="74">
        <v>0.0</v>
      </c>
      <c r="I335" s="74">
        <f t="shared" si="4"/>
        <v>0</v>
      </c>
      <c r="J335" s="48" t="s">
        <v>871</v>
      </c>
    </row>
    <row r="336">
      <c r="A336" s="76" t="s">
        <v>13</v>
      </c>
      <c r="B336" s="71" t="s">
        <v>877</v>
      </c>
      <c r="C336" s="71">
        <f t="shared" si="6"/>
        <v>45284</v>
      </c>
      <c r="D336" s="73" t="str">
        <f t="shared" si="2"/>
        <v>2023-12</v>
      </c>
      <c r="E336" s="36">
        <v>224.0</v>
      </c>
      <c r="F336" s="37">
        <v>1.0</v>
      </c>
      <c r="G336" s="36">
        <v>0.0</v>
      </c>
      <c r="H336" s="74">
        <v>0.0</v>
      </c>
      <c r="I336" s="74">
        <f t="shared" si="4"/>
        <v>0.45</v>
      </c>
      <c r="J336" s="48" t="s">
        <v>875</v>
      </c>
    </row>
    <row r="337">
      <c r="A337" s="76" t="s">
        <v>13</v>
      </c>
      <c r="B337" s="71" t="s">
        <v>882</v>
      </c>
      <c r="C337" s="71">
        <f t="shared" si="6"/>
        <v>45283</v>
      </c>
      <c r="D337" s="73" t="str">
        <f t="shared" si="2"/>
        <v>2023-12</v>
      </c>
      <c r="E337" s="36">
        <v>169.0</v>
      </c>
      <c r="F337" s="37">
        <v>1.0</v>
      </c>
      <c r="G337" s="36">
        <v>0.0</v>
      </c>
      <c r="H337" s="74">
        <v>0.0</v>
      </c>
      <c r="I337" s="74">
        <f t="shared" si="4"/>
        <v>0.59</v>
      </c>
      <c r="J337" s="48" t="s">
        <v>880</v>
      </c>
    </row>
    <row r="338">
      <c r="A338" s="76" t="s">
        <v>13</v>
      </c>
      <c r="B338" s="71" t="s">
        <v>887</v>
      </c>
      <c r="C338" s="71">
        <f t="shared" si="6"/>
        <v>45282</v>
      </c>
      <c r="D338" s="73" t="str">
        <f t="shared" si="2"/>
        <v>2023-12</v>
      </c>
      <c r="E338" s="36">
        <v>165.0</v>
      </c>
      <c r="F338" s="37">
        <v>3.0</v>
      </c>
      <c r="G338" s="36">
        <v>0.0</v>
      </c>
      <c r="H338" s="74">
        <v>0.0</v>
      </c>
      <c r="I338" s="74">
        <f t="shared" si="4"/>
        <v>1.82</v>
      </c>
      <c r="J338" s="48" t="s">
        <v>885</v>
      </c>
    </row>
    <row r="339">
      <c r="A339" s="76" t="s">
        <v>13</v>
      </c>
      <c r="B339" s="71" t="s">
        <v>891</v>
      </c>
      <c r="C339" s="71">
        <f t="shared" si="6"/>
        <v>45274</v>
      </c>
      <c r="D339" s="73" t="str">
        <f t="shared" si="2"/>
        <v>2023-12</v>
      </c>
      <c r="E339" s="36">
        <v>165.0</v>
      </c>
      <c r="F339" s="37">
        <v>2.0</v>
      </c>
      <c r="G339" s="36">
        <v>0.0</v>
      </c>
      <c r="H339" s="74">
        <v>1.0</v>
      </c>
      <c r="I339" s="74">
        <f t="shared" si="4"/>
        <v>1.82</v>
      </c>
      <c r="J339" s="48" t="s">
        <v>889</v>
      </c>
    </row>
    <row r="340">
      <c r="A340" s="76" t="s">
        <v>13</v>
      </c>
      <c r="B340" s="71" t="s">
        <v>896</v>
      </c>
      <c r="C340" s="71">
        <f t="shared" si="6"/>
        <v>45261</v>
      </c>
      <c r="D340" s="73" t="str">
        <f t="shared" si="2"/>
        <v>2023-12</v>
      </c>
      <c r="E340" s="36">
        <v>153.0</v>
      </c>
      <c r="F340" s="37">
        <v>0.0</v>
      </c>
      <c r="G340" s="36">
        <v>0.0</v>
      </c>
      <c r="H340" s="74">
        <v>0.0</v>
      </c>
      <c r="I340" s="74">
        <f t="shared" si="4"/>
        <v>0</v>
      </c>
      <c r="J340" s="48" t="s">
        <v>894</v>
      </c>
    </row>
    <row r="341">
      <c r="A341" s="76" t="s">
        <v>13</v>
      </c>
      <c r="B341" s="71" t="s">
        <v>901</v>
      </c>
      <c r="C341" s="71">
        <f t="shared" si="6"/>
        <v>45261</v>
      </c>
      <c r="D341" s="73" t="str">
        <f t="shared" si="2"/>
        <v>2023-12</v>
      </c>
      <c r="E341" s="36">
        <v>134.0</v>
      </c>
      <c r="F341" s="37">
        <v>1.0</v>
      </c>
      <c r="G341" s="36">
        <v>0.0</v>
      </c>
      <c r="H341" s="74">
        <v>0.0</v>
      </c>
      <c r="I341" s="74">
        <f t="shared" si="4"/>
        <v>0.75</v>
      </c>
      <c r="J341" s="48" t="s">
        <v>899</v>
      </c>
    </row>
    <row r="342">
      <c r="A342" s="76" t="s">
        <v>13</v>
      </c>
      <c r="B342" s="71" t="s">
        <v>906</v>
      </c>
      <c r="C342" s="71">
        <f t="shared" si="6"/>
        <v>45260</v>
      </c>
      <c r="D342" s="73" t="str">
        <f t="shared" si="2"/>
        <v>2023-11</v>
      </c>
      <c r="E342" s="36">
        <v>151.0</v>
      </c>
      <c r="F342" s="37">
        <v>2.0</v>
      </c>
      <c r="G342" s="36">
        <v>0.0</v>
      </c>
      <c r="H342" s="74">
        <v>1.0</v>
      </c>
      <c r="I342" s="74">
        <f t="shared" si="4"/>
        <v>1.99</v>
      </c>
      <c r="J342" s="48" t="s">
        <v>904</v>
      </c>
    </row>
    <row r="343">
      <c r="A343" s="76" t="s">
        <v>13</v>
      </c>
      <c r="B343" s="71" t="s">
        <v>868</v>
      </c>
      <c r="C343" s="71">
        <f t="shared" si="6"/>
        <v>45322</v>
      </c>
      <c r="D343" s="73" t="str">
        <f t="shared" si="2"/>
        <v>2024-01</v>
      </c>
      <c r="E343" s="36">
        <v>317.0</v>
      </c>
      <c r="F343" s="37">
        <v>3.0</v>
      </c>
      <c r="G343" s="36">
        <v>0.0</v>
      </c>
      <c r="H343" s="74">
        <v>0.0</v>
      </c>
      <c r="I343" s="74">
        <f t="shared" si="4"/>
        <v>0.95</v>
      </c>
      <c r="J343" s="48" t="s">
        <v>866</v>
      </c>
    </row>
    <row r="344">
      <c r="A344" s="76" t="s">
        <v>13</v>
      </c>
      <c r="B344" s="71" t="s">
        <v>873</v>
      </c>
      <c r="C344" s="71">
        <f t="shared" si="6"/>
        <v>45285</v>
      </c>
      <c r="D344" s="73" t="str">
        <f t="shared" si="2"/>
        <v>2023-12</v>
      </c>
      <c r="E344" s="36">
        <v>251.0</v>
      </c>
      <c r="F344" s="37">
        <v>0.0</v>
      </c>
      <c r="G344" s="36">
        <v>0.0</v>
      </c>
      <c r="H344" s="74">
        <v>0.0</v>
      </c>
      <c r="I344" s="74">
        <f t="shared" si="4"/>
        <v>0</v>
      </c>
      <c r="J344" s="48" t="s">
        <v>871</v>
      </c>
    </row>
    <row r="345">
      <c r="A345" s="76" t="s">
        <v>13</v>
      </c>
      <c r="B345" s="71" t="s">
        <v>877</v>
      </c>
      <c r="C345" s="71">
        <f t="shared" si="6"/>
        <v>45284</v>
      </c>
      <c r="D345" s="73" t="str">
        <f t="shared" si="2"/>
        <v>2023-12</v>
      </c>
      <c r="E345" s="36">
        <v>224.0</v>
      </c>
      <c r="F345" s="37">
        <v>1.0</v>
      </c>
      <c r="G345" s="36">
        <v>0.0</v>
      </c>
      <c r="H345" s="74">
        <v>0.0</v>
      </c>
      <c r="I345" s="74">
        <f t="shared" si="4"/>
        <v>0.45</v>
      </c>
      <c r="J345" s="48" t="s">
        <v>875</v>
      </c>
    </row>
    <row r="346">
      <c r="A346" s="76" t="s">
        <v>13</v>
      </c>
      <c r="B346" s="71" t="s">
        <v>882</v>
      </c>
      <c r="C346" s="71">
        <f t="shared" si="6"/>
        <v>45283</v>
      </c>
      <c r="D346" s="73" t="str">
        <f t="shared" si="2"/>
        <v>2023-12</v>
      </c>
      <c r="E346" s="36">
        <v>169.0</v>
      </c>
      <c r="F346" s="37">
        <v>1.0</v>
      </c>
      <c r="G346" s="36">
        <v>0.0</v>
      </c>
      <c r="H346" s="74">
        <v>0.0</v>
      </c>
      <c r="I346" s="74">
        <f t="shared" si="4"/>
        <v>0.59</v>
      </c>
      <c r="J346" s="48" t="s">
        <v>880</v>
      </c>
    </row>
    <row r="347">
      <c r="A347" s="76" t="s">
        <v>13</v>
      </c>
      <c r="B347" s="71" t="s">
        <v>887</v>
      </c>
      <c r="C347" s="71">
        <f t="shared" si="6"/>
        <v>45282</v>
      </c>
      <c r="D347" s="73" t="str">
        <f t="shared" si="2"/>
        <v>2023-12</v>
      </c>
      <c r="E347" s="36">
        <v>165.0</v>
      </c>
      <c r="F347" s="37">
        <v>3.0</v>
      </c>
      <c r="G347" s="36">
        <v>0.0</v>
      </c>
      <c r="H347" s="74">
        <v>0.0</v>
      </c>
      <c r="I347" s="74">
        <f t="shared" si="4"/>
        <v>1.82</v>
      </c>
      <c r="J347" s="48" t="s">
        <v>885</v>
      </c>
    </row>
    <row r="348">
      <c r="A348" s="76" t="s">
        <v>13</v>
      </c>
      <c r="B348" s="71" t="s">
        <v>891</v>
      </c>
      <c r="C348" s="71">
        <f t="shared" si="6"/>
        <v>45274</v>
      </c>
      <c r="D348" s="73" t="str">
        <f t="shared" si="2"/>
        <v>2023-12</v>
      </c>
      <c r="E348" s="36">
        <v>165.0</v>
      </c>
      <c r="F348" s="37">
        <v>2.0</v>
      </c>
      <c r="G348" s="36">
        <v>0.0</v>
      </c>
      <c r="H348" s="74">
        <v>1.0</v>
      </c>
      <c r="I348" s="74">
        <f t="shared" si="4"/>
        <v>1.82</v>
      </c>
      <c r="J348" s="48" t="s">
        <v>889</v>
      </c>
    </row>
    <row r="349">
      <c r="A349" s="76" t="s">
        <v>13</v>
      </c>
      <c r="B349" s="71" t="s">
        <v>896</v>
      </c>
      <c r="C349" s="71">
        <f t="shared" si="6"/>
        <v>45261</v>
      </c>
      <c r="D349" s="73" t="str">
        <f t="shared" si="2"/>
        <v>2023-12</v>
      </c>
      <c r="E349" s="36">
        <v>153.0</v>
      </c>
      <c r="F349" s="37">
        <v>0.0</v>
      </c>
      <c r="G349" s="36">
        <v>0.0</v>
      </c>
      <c r="H349" s="74">
        <v>0.0</v>
      </c>
      <c r="I349" s="74">
        <f t="shared" si="4"/>
        <v>0</v>
      </c>
      <c r="J349" s="48" t="s">
        <v>894</v>
      </c>
    </row>
    <row r="350">
      <c r="A350" s="76" t="s">
        <v>13</v>
      </c>
      <c r="B350" s="71" t="s">
        <v>901</v>
      </c>
      <c r="C350" s="71">
        <f t="shared" si="6"/>
        <v>45261</v>
      </c>
      <c r="D350" s="73" t="str">
        <f t="shared" si="2"/>
        <v>2023-12</v>
      </c>
      <c r="E350" s="36">
        <v>134.0</v>
      </c>
      <c r="F350" s="37">
        <v>1.0</v>
      </c>
      <c r="G350" s="36">
        <v>0.0</v>
      </c>
      <c r="H350" s="74">
        <v>0.0</v>
      </c>
      <c r="I350" s="74">
        <f t="shared" si="4"/>
        <v>0.75</v>
      </c>
      <c r="J350" s="48" t="s">
        <v>899</v>
      </c>
    </row>
    <row r="351">
      <c r="A351" s="76" t="s">
        <v>13</v>
      </c>
      <c r="B351" s="71" t="s">
        <v>906</v>
      </c>
      <c r="C351" s="71">
        <f t="shared" si="6"/>
        <v>45260</v>
      </c>
      <c r="D351" s="73" t="str">
        <f t="shared" si="2"/>
        <v>2023-11</v>
      </c>
      <c r="E351" s="36">
        <v>151.0</v>
      </c>
      <c r="F351" s="37">
        <v>2.0</v>
      </c>
      <c r="G351" s="36">
        <v>0.0</v>
      </c>
      <c r="H351" s="74">
        <v>1.0</v>
      </c>
      <c r="I351" s="74">
        <f t="shared" si="4"/>
        <v>1.99</v>
      </c>
      <c r="J351" s="48" t="s">
        <v>904</v>
      </c>
    </row>
    <row r="352">
      <c r="A352" s="76" t="s">
        <v>13</v>
      </c>
      <c r="B352" s="71" t="s">
        <v>868</v>
      </c>
      <c r="C352" s="71">
        <f t="shared" si="6"/>
        <v>45322</v>
      </c>
      <c r="D352" s="73" t="str">
        <f t="shared" si="2"/>
        <v>2024-01</v>
      </c>
      <c r="E352" s="36">
        <v>316.0</v>
      </c>
      <c r="F352" s="37">
        <v>3.0</v>
      </c>
      <c r="G352" s="36">
        <v>0.0</v>
      </c>
      <c r="H352" s="74">
        <v>0.0</v>
      </c>
      <c r="I352" s="74">
        <f t="shared" si="4"/>
        <v>0.95</v>
      </c>
      <c r="J352" s="48" t="s">
        <v>866</v>
      </c>
    </row>
    <row r="353">
      <c r="A353" s="76" t="s">
        <v>13</v>
      </c>
      <c r="B353" s="71" t="s">
        <v>873</v>
      </c>
      <c r="C353" s="71">
        <f t="shared" si="6"/>
        <v>45285</v>
      </c>
      <c r="D353" s="73" t="str">
        <f t="shared" si="2"/>
        <v>2023-12</v>
      </c>
      <c r="E353" s="36">
        <v>251.0</v>
      </c>
      <c r="F353" s="37">
        <v>0.0</v>
      </c>
      <c r="G353" s="36">
        <v>0.0</v>
      </c>
      <c r="H353" s="74">
        <v>0.0</v>
      </c>
      <c r="I353" s="74">
        <f t="shared" si="4"/>
        <v>0</v>
      </c>
      <c r="J353" s="48" t="s">
        <v>871</v>
      </c>
    </row>
    <row r="354">
      <c r="A354" s="76" t="s">
        <v>13</v>
      </c>
      <c r="B354" s="71" t="s">
        <v>877</v>
      </c>
      <c r="C354" s="71">
        <f t="shared" si="6"/>
        <v>45284</v>
      </c>
      <c r="D354" s="73" t="str">
        <f t="shared" si="2"/>
        <v>2023-12</v>
      </c>
      <c r="E354" s="36">
        <v>224.0</v>
      </c>
      <c r="F354" s="37">
        <v>1.0</v>
      </c>
      <c r="G354" s="36">
        <v>0.0</v>
      </c>
      <c r="H354" s="74">
        <v>0.0</v>
      </c>
      <c r="I354" s="74">
        <f t="shared" si="4"/>
        <v>0.45</v>
      </c>
      <c r="J354" s="48" t="s">
        <v>875</v>
      </c>
    </row>
    <row r="355">
      <c r="A355" s="76" t="s">
        <v>13</v>
      </c>
      <c r="B355" s="71" t="s">
        <v>882</v>
      </c>
      <c r="C355" s="71">
        <f t="shared" si="6"/>
        <v>45283</v>
      </c>
      <c r="D355" s="73" t="str">
        <f t="shared" si="2"/>
        <v>2023-12</v>
      </c>
      <c r="E355" s="36">
        <v>169.0</v>
      </c>
      <c r="F355" s="37">
        <v>1.0</v>
      </c>
      <c r="G355" s="36">
        <v>0.0</v>
      </c>
      <c r="H355" s="74">
        <v>0.0</v>
      </c>
      <c r="I355" s="74">
        <f t="shared" si="4"/>
        <v>0.59</v>
      </c>
      <c r="J355" s="48" t="s">
        <v>880</v>
      </c>
    </row>
    <row r="356">
      <c r="A356" s="76" t="s">
        <v>13</v>
      </c>
      <c r="B356" s="71" t="s">
        <v>887</v>
      </c>
      <c r="C356" s="71">
        <f t="shared" si="6"/>
        <v>45282</v>
      </c>
      <c r="D356" s="73" t="str">
        <f t="shared" si="2"/>
        <v>2023-12</v>
      </c>
      <c r="E356" s="36">
        <v>165.0</v>
      </c>
      <c r="F356" s="37">
        <v>3.0</v>
      </c>
      <c r="G356" s="36">
        <v>0.0</v>
      </c>
      <c r="H356" s="74">
        <v>0.0</v>
      </c>
      <c r="I356" s="74">
        <f t="shared" si="4"/>
        <v>1.82</v>
      </c>
      <c r="J356" s="48" t="s">
        <v>885</v>
      </c>
    </row>
    <row r="357">
      <c r="A357" s="76" t="s">
        <v>13</v>
      </c>
      <c r="B357" s="71" t="s">
        <v>891</v>
      </c>
      <c r="C357" s="71">
        <f t="shared" si="6"/>
        <v>45274</v>
      </c>
      <c r="D357" s="73" t="str">
        <f t="shared" si="2"/>
        <v>2023-12</v>
      </c>
      <c r="E357" s="36">
        <v>165.0</v>
      </c>
      <c r="F357" s="37">
        <v>2.0</v>
      </c>
      <c r="G357" s="36">
        <v>0.0</v>
      </c>
      <c r="H357" s="74">
        <v>1.0</v>
      </c>
      <c r="I357" s="74">
        <f t="shared" si="4"/>
        <v>1.82</v>
      </c>
      <c r="J357" s="48" t="s">
        <v>889</v>
      </c>
    </row>
    <row r="358">
      <c r="A358" s="76" t="s">
        <v>13</v>
      </c>
      <c r="B358" s="71" t="s">
        <v>896</v>
      </c>
      <c r="C358" s="71">
        <f t="shared" si="6"/>
        <v>45261</v>
      </c>
      <c r="D358" s="73" t="str">
        <f t="shared" si="2"/>
        <v>2023-12</v>
      </c>
      <c r="E358" s="36">
        <v>152.0</v>
      </c>
      <c r="F358" s="37">
        <v>0.0</v>
      </c>
      <c r="G358" s="36">
        <v>0.0</v>
      </c>
      <c r="H358" s="74">
        <v>0.0</v>
      </c>
      <c r="I358" s="74">
        <f t="shared" si="4"/>
        <v>0</v>
      </c>
      <c r="J358" s="48" t="s">
        <v>894</v>
      </c>
    </row>
    <row r="359">
      <c r="A359" s="76" t="s">
        <v>13</v>
      </c>
      <c r="B359" s="71" t="s">
        <v>901</v>
      </c>
      <c r="C359" s="71">
        <f t="shared" si="6"/>
        <v>45261</v>
      </c>
      <c r="D359" s="73" t="str">
        <f t="shared" si="2"/>
        <v>2023-12</v>
      </c>
      <c r="E359" s="36">
        <v>134.0</v>
      </c>
      <c r="F359" s="37">
        <v>1.0</v>
      </c>
      <c r="G359" s="36">
        <v>0.0</v>
      </c>
      <c r="H359" s="74">
        <v>0.0</v>
      </c>
      <c r="I359" s="74">
        <f t="shared" si="4"/>
        <v>0.75</v>
      </c>
      <c r="J359" s="48" t="s">
        <v>899</v>
      </c>
    </row>
    <row r="360">
      <c r="A360" s="76" t="s">
        <v>13</v>
      </c>
      <c r="B360" s="71" t="s">
        <v>906</v>
      </c>
      <c r="C360" s="71">
        <f t="shared" si="6"/>
        <v>45260</v>
      </c>
      <c r="D360" s="73" t="str">
        <f t="shared" si="2"/>
        <v>2023-11</v>
      </c>
      <c r="E360" s="36">
        <v>151.0</v>
      </c>
      <c r="F360" s="37">
        <v>2.0</v>
      </c>
      <c r="G360" s="36">
        <v>0.0</v>
      </c>
      <c r="H360" s="74">
        <v>1.0</v>
      </c>
      <c r="I360" s="74">
        <f t="shared" si="4"/>
        <v>1.99</v>
      </c>
      <c r="J360" s="48" t="s">
        <v>904</v>
      </c>
    </row>
    <row r="361">
      <c r="A361" s="76" t="s">
        <v>13</v>
      </c>
      <c r="B361" s="71" t="s">
        <v>868</v>
      </c>
      <c r="C361" s="71">
        <f t="shared" si="6"/>
        <v>45322</v>
      </c>
      <c r="D361" s="73" t="str">
        <f t="shared" si="2"/>
        <v>2024-01</v>
      </c>
      <c r="E361" s="36">
        <v>317.0</v>
      </c>
      <c r="F361" s="37">
        <v>3.0</v>
      </c>
      <c r="G361" s="36">
        <v>0.0</v>
      </c>
      <c r="H361" s="74">
        <v>0.0</v>
      </c>
      <c r="I361" s="74">
        <f t="shared" si="4"/>
        <v>0.95</v>
      </c>
      <c r="J361" s="48" t="s">
        <v>866</v>
      </c>
    </row>
    <row r="362">
      <c r="A362" s="76" t="s">
        <v>13</v>
      </c>
      <c r="B362" s="71" t="s">
        <v>873</v>
      </c>
      <c r="C362" s="71">
        <f t="shared" si="6"/>
        <v>45285</v>
      </c>
      <c r="D362" s="73" t="str">
        <f t="shared" si="2"/>
        <v>2023-12</v>
      </c>
      <c r="E362" s="36">
        <v>251.0</v>
      </c>
      <c r="F362" s="37">
        <v>0.0</v>
      </c>
      <c r="G362" s="36">
        <v>0.0</v>
      </c>
      <c r="H362" s="74">
        <v>0.0</v>
      </c>
      <c r="I362" s="74">
        <f t="shared" si="4"/>
        <v>0</v>
      </c>
      <c r="J362" s="48" t="s">
        <v>871</v>
      </c>
    </row>
    <row r="363">
      <c r="A363" s="76" t="s">
        <v>13</v>
      </c>
      <c r="B363" s="71" t="s">
        <v>877</v>
      </c>
      <c r="C363" s="71">
        <f t="shared" si="6"/>
        <v>45284</v>
      </c>
      <c r="D363" s="73" t="str">
        <f t="shared" si="2"/>
        <v>2023-12</v>
      </c>
      <c r="E363" s="36">
        <v>224.0</v>
      </c>
      <c r="F363" s="37">
        <v>1.0</v>
      </c>
      <c r="G363" s="36">
        <v>0.0</v>
      </c>
      <c r="H363" s="74">
        <v>0.0</v>
      </c>
      <c r="I363" s="74">
        <f t="shared" si="4"/>
        <v>0.45</v>
      </c>
      <c r="J363" s="48" t="s">
        <v>875</v>
      </c>
    </row>
    <row r="364">
      <c r="A364" s="76" t="s">
        <v>13</v>
      </c>
      <c r="B364" s="71" t="s">
        <v>882</v>
      </c>
      <c r="C364" s="71">
        <f t="shared" si="6"/>
        <v>45283</v>
      </c>
      <c r="D364" s="73" t="str">
        <f t="shared" si="2"/>
        <v>2023-12</v>
      </c>
      <c r="E364" s="36">
        <v>169.0</v>
      </c>
      <c r="F364" s="37">
        <v>1.0</v>
      </c>
      <c r="G364" s="36">
        <v>0.0</v>
      </c>
      <c r="H364" s="74">
        <v>0.0</v>
      </c>
      <c r="I364" s="74">
        <f t="shared" si="4"/>
        <v>0.59</v>
      </c>
      <c r="J364" s="48" t="s">
        <v>880</v>
      </c>
    </row>
    <row r="365">
      <c r="A365" s="76" t="s">
        <v>13</v>
      </c>
      <c r="B365" s="71" t="s">
        <v>887</v>
      </c>
      <c r="C365" s="71">
        <f t="shared" si="6"/>
        <v>45282</v>
      </c>
      <c r="D365" s="73" t="str">
        <f t="shared" si="2"/>
        <v>2023-12</v>
      </c>
      <c r="E365" s="36">
        <v>165.0</v>
      </c>
      <c r="F365" s="37">
        <v>3.0</v>
      </c>
      <c r="G365" s="36">
        <v>0.0</v>
      </c>
      <c r="H365" s="74">
        <v>0.0</v>
      </c>
      <c r="I365" s="74">
        <f t="shared" si="4"/>
        <v>1.82</v>
      </c>
      <c r="J365" s="48" t="s">
        <v>885</v>
      </c>
    </row>
    <row r="366">
      <c r="A366" s="76" t="s">
        <v>13</v>
      </c>
      <c r="B366" s="71" t="s">
        <v>891</v>
      </c>
      <c r="C366" s="71">
        <f t="shared" si="6"/>
        <v>45274</v>
      </c>
      <c r="D366" s="73" t="str">
        <f t="shared" si="2"/>
        <v>2023-12</v>
      </c>
      <c r="E366" s="36">
        <v>165.0</v>
      </c>
      <c r="F366" s="37">
        <v>2.0</v>
      </c>
      <c r="G366" s="36">
        <v>0.0</v>
      </c>
      <c r="H366" s="74">
        <v>1.0</v>
      </c>
      <c r="I366" s="74">
        <f t="shared" si="4"/>
        <v>1.82</v>
      </c>
      <c r="J366" s="48" t="s">
        <v>889</v>
      </c>
    </row>
    <row r="367">
      <c r="A367" s="76" t="s">
        <v>13</v>
      </c>
      <c r="B367" s="71" t="s">
        <v>896</v>
      </c>
      <c r="C367" s="71">
        <f t="shared" si="6"/>
        <v>45261</v>
      </c>
      <c r="D367" s="73" t="str">
        <f t="shared" si="2"/>
        <v>2023-12</v>
      </c>
      <c r="E367" s="36">
        <v>153.0</v>
      </c>
      <c r="F367" s="37">
        <v>0.0</v>
      </c>
      <c r="G367" s="36">
        <v>0.0</v>
      </c>
      <c r="H367" s="74">
        <v>0.0</v>
      </c>
      <c r="I367" s="74">
        <f t="shared" si="4"/>
        <v>0</v>
      </c>
      <c r="J367" s="48" t="s">
        <v>894</v>
      </c>
    </row>
    <row r="368">
      <c r="A368" s="76" t="s">
        <v>13</v>
      </c>
      <c r="B368" s="71" t="s">
        <v>901</v>
      </c>
      <c r="C368" s="71">
        <f t="shared" si="6"/>
        <v>45261</v>
      </c>
      <c r="D368" s="73" t="str">
        <f t="shared" si="2"/>
        <v>2023-12</v>
      </c>
      <c r="E368" s="36">
        <v>134.0</v>
      </c>
      <c r="F368" s="37">
        <v>1.0</v>
      </c>
      <c r="G368" s="36">
        <v>0.0</v>
      </c>
      <c r="H368" s="74">
        <v>0.0</v>
      </c>
      <c r="I368" s="74">
        <f t="shared" si="4"/>
        <v>0.75</v>
      </c>
      <c r="J368" s="48" t="s">
        <v>899</v>
      </c>
    </row>
    <row r="369">
      <c r="A369" s="76" t="s">
        <v>13</v>
      </c>
      <c r="B369" s="71" t="s">
        <v>906</v>
      </c>
      <c r="C369" s="71">
        <f t="shared" si="6"/>
        <v>45260</v>
      </c>
      <c r="D369" s="73" t="str">
        <f t="shared" si="2"/>
        <v>2023-11</v>
      </c>
      <c r="E369" s="36">
        <v>151.0</v>
      </c>
      <c r="F369" s="37">
        <v>2.0</v>
      </c>
      <c r="G369" s="36">
        <v>0.0</v>
      </c>
      <c r="H369" s="74">
        <v>1.0</v>
      </c>
      <c r="I369" s="74">
        <f t="shared" si="4"/>
        <v>1.99</v>
      </c>
      <c r="J369" s="48" t="s">
        <v>904</v>
      </c>
    </row>
    <row r="370">
      <c r="A370" s="76" t="s">
        <v>17</v>
      </c>
      <c r="B370" s="62" t="s">
        <v>920</v>
      </c>
      <c r="C370" s="62">
        <f t="shared" ref="C370:C373" si="7">DATE(RIGHT(B370,4), MID(B370,4,2), LEFT(B370,2))</f>
        <v>43911</v>
      </c>
      <c r="D370" s="73" t="str">
        <f t="shared" si="2"/>
        <v>2020-03</v>
      </c>
      <c r="E370" s="77">
        <v>14300.0</v>
      </c>
      <c r="F370" s="77">
        <v>8600.0</v>
      </c>
      <c r="G370" s="77">
        <v>141.0</v>
      </c>
      <c r="H370" s="74"/>
      <c r="I370" s="74">
        <f t="shared" si="4"/>
        <v>61.13</v>
      </c>
      <c r="J370" s="48" t="s">
        <v>922</v>
      </c>
    </row>
    <row r="371">
      <c r="A371" s="76" t="s">
        <v>17</v>
      </c>
      <c r="B371" s="62" t="s">
        <v>926</v>
      </c>
      <c r="C371" s="62">
        <f t="shared" si="7"/>
        <v>45869</v>
      </c>
      <c r="D371" s="73" t="str">
        <f t="shared" si="2"/>
        <v>2025-07</v>
      </c>
      <c r="E371" s="36">
        <v>5200.0</v>
      </c>
      <c r="F371" s="37">
        <v>461.0</v>
      </c>
      <c r="G371" s="36">
        <v>2.0</v>
      </c>
      <c r="H371" s="74"/>
      <c r="I371" s="74">
        <f t="shared" si="4"/>
        <v>8.9</v>
      </c>
      <c r="J371" s="48" t="s">
        <v>928</v>
      </c>
    </row>
    <row r="372">
      <c r="A372" s="76" t="s">
        <v>17</v>
      </c>
      <c r="B372" s="62" t="s">
        <v>926</v>
      </c>
      <c r="C372" s="62">
        <f t="shared" si="7"/>
        <v>45869</v>
      </c>
      <c r="D372" s="73" t="str">
        <f t="shared" si="2"/>
        <v>2025-07</v>
      </c>
      <c r="E372" s="36">
        <v>2900.0</v>
      </c>
      <c r="F372" s="37">
        <v>217.0</v>
      </c>
      <c r="G372" s="36">
        <v>1.0</v>
      </c>
      <c r="H372" s="74"/>
      <c r="I372" s="74">
        <f t="shared" si="4"/>
        <v>7.52</v>
      </c>
      <c r="J372" s="48" t="s">
        <v>930</v>
      </c>
    </row>
    <row r="373">
      <c r="A373" s="76" t="s">
        <v>17</v>
      </c>
      <c r="B373" s="62" t="s">
        <v>926</v>
      </c>
      <c r="C373" s="62">
        <f t="shared" si="7"/>
        <v>45869</v>
      </c>
      <c r="D373" s="73" t="str">
        <f t="shared" si="2"/>
        <v>2025-07</v>
      </c>
      <c r="E373" s="36">
        <v>2300.0</v>
      </c>
      <c r="F373" s="37">
        <v>165.0</v>
      </c>
      <c r="G373" s="36">
        <v>1.0</v>
      </c>
      <c r="H373" s="74"/>
      <c r="I373" s="74">
        <f t="shared" si="4"/>
        <v>7.22</v>
      </c>
      <c r="J373" s="48" t="s">
        <v>932</v>
      </c>
    </row>
    <row r="374">
      <c r="A374" s="76" t="s">
        <v>17</v>
      </c>
      <c r="B374" s="62">
        <v>45665.0</v>
      </c>
      <c r="C374" s="62">
        <f>IFERROR(__xludf.DUMMYFUNCTION("DATE(RIGHT(B374,4), INDEX(SPLIT(B374,""/""),2), INDEX(SPLIT(B374,""/""),1))"),45870.0)</f>
        <v>45870</v>
      </c>
      <c r="D374" s="73" t="str">
        <f t="shared" si="2"/>
        <v>2025-08</v>
      </c>
      <c r="E374" s="36">
        <v>2100.0</v>
      </c>
      <c r="F374" s="37">
        <v>135.0</v>
      </c>
      <c r="G374" s="36">
        <v>0.0</v>
      </c>
      <c r="H374" s="74"/>
      <c r="I374" s="74">
        <f t="shared" si="4"/>
        <v>6.43</v>
      </c>
      <c r="J374" s="48" t="s">
        <v>933</v>
      </c>
    </row>
    <row r="375">
      <c r="A375" s="76" t="s">
        <v>17</v>
      </c>
      <c r="B375" s="62">
        <v>45665.0</v>
      </c>
      <c r="C375" s="62">
        <f>IFERROR(__xludf.DUMMYFUNCTION("DATE(RIGHT(B375,4), INDEX(SPLIT(B375,""/""),2), INDEX(SPLIT(B375,""/""),1))"),45870.0)</f>
        <v>45870</v>
      </c>
      <c r="D375" s="73" t="str">
        <f t="shared" si="2"/>
        <v>2025-08</v>
      </c>
      <c r="E375" s="36">
        <v>1300.0</v>
      </c>
      <c r="F375" s="37">
        <v>83.0</v>
      </c>
      <c r="G375" s="36">
        <v>0.0</v>
      </c>
      <c r="H375" s="74"/>
      <c r="I375" s="74">
        <f t="shared" si="4"/>
        <v>6.38</v>
      </c>
      <c r="J375" s="48" t="s">
        <v>934</v>
      </c>
    </row>
    <row r="376">
      <c r="A376" s="76" t="s">
        <v>17</v>
      </c>
      <c r="B376" s="62">
        <v>45846.0</v>
      </c>
      <c r="C376" s="62">
        <f>IFERROR(__xludf.DUMMYFUNCTION("DATE(RIGHT(B376,4), INDEX(SPLIT(B376,""/""),2), INDEX(SPLIT(B376,""/""),1))"),45876.0)</f>
        <v>45876</v>
      </c>
      <c r="D376" s="73" t="str">
        <f t="shared" si="2"/>
        <v>2025-08</v>
      </c>
      <c r="E376" s="36">
        <v>5600.0</v>
      </c>
      <c r="F376" s="37">
        <v>580.0</v>
      </c>
      <c r="G376" s="36">
        <v>5.0</v>
      </c>
      <c r="H376" s="74"/>
      <c r="I376" s="74">
        <f t="shared" si="4"/>
        <v>10.45</v>
      </c>
      <c r="J376" s="48" t="s">
        <v>936</v>
      </c>
    </row>
    <row r="377">
      <c r="A377" s="76" t="s">
        <v>17</v>
      </c>
      <c r="B377" s="62">
        <v>45846.0</v>
      </c>
      <c r="C377" s="62">
        <f>IFERROR(__xludf.DUMMYFUNCTION("DATE(RIGHT(B377,4), INDEX(SPLIT(B377,""/""),2), INDEX(SPLIT(B377,""/""),1))"),45876.0)</f>
        <v>45876</v>
      </c>
      <c r="D377" s="73" t="str">
        <f t="shared" si="2"/>
        <v>2025-08</v>
      </c>
      <c r="E377" s="36">
        <v>3900.0</v>
      </c>
      <c r="F377" s="37">
        <v>269.0</v>
      </c>
      <c r="G377" s="36">
        <v>1.0</v>
      </c>
      <c r="H377" s="74"/>
      <c r="I377" s="74">
        <f t="shared" si="4"/>
        <v>6.92</v>
      </c>
      <c r="J377" s="48" t="s">
        <v>938</v>
      </c>
    </row>
    <row r="378">
      <c r="A378" s="76" t="s">
        <v>17</v>
      </c>
      <c r="B378" s="62">
        <v>45846.0</v>
      </c>
      <c r="C378" s="62">
        <f>IFERROR(__xludf.DUMMYFUNCTION("DATE(RIGHT(B378,4), INDEX(SPLIT(B378,""/""),2), INDEX(SPLIT(B378,""/""),1))"),45876.0)</f>
        <v>45876</v>
      </c>
      <c r="D378" s="73" t="str">
        <f t="shared" si="2"/>
        <v>2025-08</v>
      </c>
      <c r="E378" s="36">
        <v>1900.0</v>
      </c>
      <c r="F378" s="37">
        <v>118.0</v>
      </c>
      <c r="G378" s="36">
        <v>0.0</v>
      </c>
      <c r="H378" s="74"/>
      <c r="I378" s="74">
        <f t="shared" si="4"/>
        <v>6.21</v>
      </c>
      <c r="J378" s="48" t="s">
        <v>939</v>
      </c>
    </row>
    <row r="379">
      <c r="A379" s="76" t="s">
        <v>17</v>
      </c>
      <c r="B379" s="62">
        <v>45846.0</v>
      </c>
      <c r="C379" s="62">
        <f>IFERROR(__xludf.DUMMYFUNCTION("DATE(RIGHT(B379,4), INDEX(SPLIT(B379,""/""),2), INDEX(SPLIT(B379,""/""),1))"),45876.0)</f>
        <v>45876</v>
      </c>
      <c r="D379" s="73" t="str">
        <f t="shared" si="2"/>
        <v>2025-08</v>
      </c>
      <c r="E379" s="36">
        <v>1500.0</v>
      </c>
      <c r="F379" s="37">
        <v>98.0</v>
      </c>
      <c r="G379" s="36">
        <v>0.0</v>
      </c>
      <c r="H379" s="74"/>
      <c r="I379" s="74">
        <f t="shared" si="4"/>
        <v>6.53</v>
      </c>
      <c r="J379" s="48" t="s">
        <v>940</v>
      </c>
    </row>
    <row r="380">
      <c r="A380" s="76" t="s">
        <v>17</v>
      </c>
      <c r="B380" s="62" t="s">
        <v>944</v>
      </c>
      <c r="C380" s="62">
        <f>IFERROR(__xludf.DUMMYFUNCTION("DATE(RIGHT(B380,4), INDEX(SPLIT(B380,""/""),2), INDEX(SPLIT(B380,""/""),1))"),45764.0)</f>
        <v>45764</v>
      </c>
      <c r="D380" s="73" t="str">
        <f t="shared" si="2"/>
        <v>2025-04</v>
      </c>
      <c r="E380" s="36">
        <v>6600.0</v>
      </c>
      <c r="F380" s="37">
        <v>577.0</v>
      </c>
      <c r="G380" s="36">
        <v>4.0</v>
      </c>
      <c r="H380" s="74"/>
      <c r="I380" s="74">
        <f t="shared" si="4"/>
        <v>8.8</v>
      </c>
      <c r="J380" s="48" t="s">
        <v>945</v>
      </c>
    </row>
    <row r="381">
      <c r="A381" s="76" t="s">
        <v>17</v>
      </c>
      <c r="B381" s="62">
        <v>45934.0</v>
      </c>
      <c r="C381" s="62">
        <f>IFERROR(__xludf.DUMMYFUNCTION("DATE(RIGHT(B381,4), INDEX(SPLIT(B381,""/""),2), INDEX(SPLIT(B381,""/""),1))"),45757.0)</f>
        <v>45757</v>
      </c>
      <c r="D381" s="73" t="str">
        <f t="shared" si="2"/>
        <v>2025-04</v>
      </c>
      <c r="E381" s="36">
        <v>4300.0</v>
      </c>
      <c r="F381" s="37">
        <v>351.0</v>
      </c>
      <c r="G381" s="36">
        <v>2.0</v>
      </c>
      <c r="H381" s="74"/>
      <c r="I381" s="74">
        <f t="shared" si="4"/>
        <v>8.21</v>
      </c>
      <c r="J381" s="48" t="s">
        <v>947</v>
      </c>
    </row>
    <row r="382">
      <c r="A382" s="76" t="s">
        <v>17</v>
      </c>
      <c r="B382" s="62">
        <v>45873.0</v>
      </c>
      <c r="C382" s="62">
        <f>IFERROR(__xludf.DUMMYFUNCTION("DATE(RIGHT(B382,4), INDEX(SPLIT(B382,""/""),2), INDEX(SPLIT(B382,""/""),1))"),45755.0)</f>
        <v>45755</v>
      </c>
      <c r="D382" s="73" t="str">
        <f t="shared" si="2"/>
        <v>2025-04</v>
      </c>
      <c r="E382" s="36">
        <v>4100.0</v>
      </c>
      <c r="F382" s="37">
        <v>287.0</v>
      </c>
      <c r="G382" s="36">
        <v>2.0</v>
      </c>
      <c r="H382" s="74"/>
      <c r="I382" s="74">
        <f t="shared" si="4"/>
        <v>7.05</v>
      </c>
      <c r="J382" s="48" t="s">
        <v>948</v>
      </c>
    </row>
    <row r="383">
      <c r="A383" s="76" t="s">
        <v>17</v>
      </c>
      <c r="B383" s="62" t="s">
        <v>949</v>
      </c>
      <c r="C383" s="62">
        <f>IFERROR(__xludf.DUMMYFUNCTION("DATE(RIGHT(B383,4), INDEX(SPLIT(B383,""/""),2), INDEX(SPLIT(B383,""/""),1))"),45762.0)</f>
        <v>45762</v>
      </c>
      <c r="D383" s="73" t="str">
        <f t="shared" si="2"/>
        <v>2025-04</v>
      </c>
      <c r="E383" s="36">
        <v>3400.0</v>
      </c>
      <c r="F383" s="37">
        <v>269.0</v>
      </c>
      <c r="G383" s="36">
        <v>0.0</v>
      </c>
      <c r="H383" s="74"/>
      <c r="I383" s="74">
        <f t="shared" si="4"/>
        <v>7.91</v>
      </c>
      <c r="J383" s="48" t="s">
        <v>950</v>
      </c>
    </row>
    <row r="384">
      <c r="A384" s="76" t="s">
        <v>17</v>
      </c>
      <c r="B384" s="62">
        <v>45810.0</v>
      </c>
      <c r="C384" s="62">
        <f>IFERROR(__xludf.DUMMYFUNCTION("DATE(RIGHT(B384,4), INDEX(SPLIT(B384,""/""),2), INDEX(SPLIT(B384,""/""),1))"),45694.0)</f>
        <v>45694</v>
      </c>
      <c r="D384" s="73" t="str">
        <f t="shared" si="2"/>
        <v>2025-02</v>
      </c>
      <c r="E384" s="36">
        <v>7000.0</v>
      </c>
      <c r="F384" s="37">
        <v>586.0</v>
      </c>
      <c r="G384" s="36">
        <v>1.0</v>
      </c>
      <c r="H384" s="74"/>
      <c r="I384" s="74">
        <f t="shared" si="4"/>
        <v>8.39</v>
      </c>
      <c r="J384" s="48" t="s">
        <v>954</v>
      </c>
    </row>
    <row r="385">
      <c r="A385" s="76" t="s">
        <v>17</v>
      </c>
      <c r="B385" s="62">
        <v>45810.0</v>
      </c>
      <c r="C385" s="62">
        <f>IFERROR(__xludf.DUMMYFUNCTION("DATE(RIGHT(B385,4), INDEX(SPLIT(B385,""/""),2), INDEX(SPLIT(B385,""/""),1))"),45694.0)</f>
        <v>45694</v>
      </c>
      <c r="D385" s="73" t="str">
        <f t="shared" si="2"/>
        <v>2025-02</v>
      </c>
      <c r="E385" s="36">
        <v>8300.0</v>
      </c>
      <c r="F385" s="37">
        <v>843.0</v>
      </c>
      <c r="G385" s="36">
        <v>4.0</v>
      </c>
      <c r="H385" s="74"/>
      <c r="I385" s="74">
        <f t="shared" si="4"/>
        <v>10.2</v>
      </c>
      <c r="J385" s="48" t="s">
        <v>958</v>
      </c>
    </row>
    <row r="386">
      <c r="A386" s="76" t="s">
        <v>17</v>
      </c>
      <c r="B386" s="62" t="s">
        <v>962</v>
      </c>
      <c r="C386" s="62">
        <f>IFERROR(__xludf.DUMMYFUNCTION("DATE(RIGHT(B386,4), INDEX(SPLIT(B386,""/""),2), INDEX(SPLIT(B386,""/""),1))"),45862.0)</f>
        <v>45862</v>
      </c>
      <c r="D386" s="73" t="str">
        <f t="shared" si="2"/>
        <v>2025-07</v>
      </c>
      <c r="E386" s="36">
        <v>8900.0</v>
      </c>
      <c r="F386" s="37">
        <v>846.0</v>
      </c>
      <c r="G386" s="36">
        <v>2.0</v>
      </c>
      <c r="H386" s="74"/>
      <c r="I386" s="74">
        <f t="shared" si="4"/>
        <v>9.53</v>
      </c>
      <c r="J386" s="48" t="s">
        <v>963</v>
      </c>
    </row>
    <row r="387">
      <c r="A387" s="76" t="s">
        <v>17</v>
      </c>
      <c r="B387" s="62">
        <v>45997.0</v>
      </c>
      <c r="C387" s="62">
        <f>IFERROR(__xludf.DUMMYFUNCTION("DATE(RIGHT(B387,4), INDEX(SPLIT(B387,""/""),2), INDEX(SPLIT(B387,""/""),1))"),45820.0)</f>
        <v>45820</v>
      </c>
      <c r="D387" s="73" t="str">
        <f t="shared" si="2"/>
        <v>2025-06</v>
      </c>
      <c r="E387" s="36">
        <v>9600.0</v>
      </c>
      <c r="F387" s="37">
        <v>592.0</v>
      </c>
      <c r="G387" s="36">
        <v>4.0</v>
      </c>
      <c r="H387" s="74"/>
      <c r="I387" s="74">
        <f t="shared" si="4"/>
        <v>6.21</v>
      </c>
      <c r="J387" s="48" t="s">
        <v>966</v>
      </c>
    </row>
    <row r="388">
      <c r="A388" s="76" t="s">
        <v>17</v>
      </c>
      <c r="B388" s="62">
        <v>45997.0</v>
      </c>
      <c r="C388" s="62">
        <f>IFERROR(__xludf.DUMMYFUNCTION("DATE(RIGHT(B388,4), INDEX(SPLIT(B388,""/""),2), INDEX(SPLIT(B388,""/""),1))"),45820.0)</f>
        <v>45820</v>
      </c>
      <c r="D388" s="73" t="str">
        <f t="shared" si="2"/>
        <v>2025-06</v>
      </c>
      <c r="E388" s="36">
        <v>4400.0</v>
      </c>
      <c r="F388" s="37">
        <v>388.0</v>
      </c>
      <c r="G388" s="36">
        <v>1.0</v>
      </c>
      <c r="H388" s="74"/>
      <c r="I388" s="74">
        <f t="shared" si="4"/>
        <v>8.84</v>
      </c>
      <c r="J388" s="48" t="s">
        <v>968</v>
      </c>
    </row>
    <row r="389">
      <c r="A389" s="76" t="s">
        <v>17</v>
      </c>
      <c r="B389" s="62">
        <v>45997.0</v>
      </c>
      <c r="C389" s="62">
        <f>IFERROR(__xludf.DUMMYFUNCTION("DATE(RIGHT(B389,4), INDEX(SPLIT(B389,""/""),2), INDEX(SPLIT(B389,""/""),1))"),45820.0)</f>
        <v>45820</v>
      </c>
      <c r="D389" s="73" t="str">
        <f t="shared" si="2"/>
        <v>2025-06</v>
      </c>
      <c r="E389" s="36">
        <v>8200.0</v>
      </c>
      <c r="F389" s="37">
        <v>780.0</v>
      </c>
      <c r="G389" s="36">
        <v>4.0</v>
      </c>
      <c r="H389" s="74"/>
      <c r="I389" s="74">
        <f t="shared" si="4"/>
        <v>9.56</v>
      </c>
      <c r="J389" s="48" t="s">
        <v>970</v>
      </c>
    </row>
    <row r="390">
      <c r="A390" s="76" t="s">
        <v>17</v>
      </c>
      <c r="B390" s="62">
        <v>46026.0</v>
      </c>
      <c r="C390" s="62">
        <f>IFERROR(__xludf.DUMMYFUNCTION("DATE(RIGHT(B390,4), INDEX(SPLIT(B390,""/""),2), INDEX(SPLIT(B390,""/""),1))"),46113.0)</f>
        <v>46113</v>
      </c>
      <c r="D390" s="73" t="str">
        <f t="shared" si="2"/>
        <v>2026-04</v>
      </c>
      <c r="E390" s="36">
        <v>2800.0</v>
      </c>
      <c r="F390" s="37">
        <v>303.0</v>
      </c>
      <c r="G390" s="36">
        <v>2.0</v>
      </c>
      <c r="H390" s="74"/>
      <c r="I390" s="74">
        <f t="shared" si="4"/>
        <v>10.89</v>
      </c>
      <c r="J390" s="48" t="s">
        <v>973</v>
      </c>
    </row>
    <row r="391">
      <c r="A391" s="76" t="s">
        <v>17</v>
      </c>
      <c r="B391" s="62">
        <v>46026.0</v>
      </c>
      <c r="C391" s="62">
        <f>IFERROR(__xludf.DUMMYFUNCTION("DATE(RIGHT(B391,4), INDEX(SPLIT(B391,""/""),2), INDEX(SPLIT(B391,""/""),1))"),46113.0)</f>
        <v>46113</v>
      </c>
      <c r="D391" s="73" t="str">
        <f t="shared" si="2"/>
        <v>2026-04</v>
      </c>
      <c r="E391" s="36">
        <v>1500.0</v>
      </c>
      <c r="F391" s="37">
        <v>148.0</v>
      </c>
      <c r="G391" s="36">
        <v>3.0</v>
      </c>
      <c r="H391" s="74"/>
      <c r="I391" s="74">
        <f t="shared" si="4"/>
        <v>10.07</v>
      </c>
      <c r="J391" s="48" t="s">
        <v>974</v>
      </c>
    </row>
    <row r="392">
      <c r="A392" s="76" t="s">
        <v>17</v>
      </c>
      <c r="B392" s="62" t="s">
        <v>976</v>
      </c>
      <c r="C392" s="62">
        <f>IFERROR(__xludf.DUMMYFUNCTION("DATE(RIGHT(B392,4), INDEX(SPLIT(B392,""/""),2), INDEX(SPLIT(B392,""/""),1))"),46111.0)</f>
        <v>46111</v>
      </c>
      <c r="D392" s="73" t="str">
        <f t="shared" si="2"/>
        <v>2026-03</v>
      </c>
      <c r="E392" s="36">
        <v>1500.0</v>
      </c>
      <c r="F392" s="37">
        <v>170.0</v>
      </c>
      <c r="G392" s="36">
        <v>0.0</v>
      </c>
      <c r="H392" s="74"/>
      <c r="I392" s="74">
        <f t="shared" si="4"/>
        <v>11.33</v>
      </c>
      <c r="J392" s="48" t="s">
        <v>977</v>
      </c>
    </row>
    <row r="393">
      <c r="A393" s="76" t="s">
        <v>17</v>
      </c>
      <c r="B393" s="62" t="s">
        <v>976</v>
      </c>
      <c r="C393" s="62">
        <f>IFERROR(__xludf.DUMMYFUNCTION("DATE(RIGHT(B393,4), INDEX(SPLIT(B393,""/""),2), INDEX(SPLIT(B393,""/""),1))"),46111.0)</f>
        <v>46111</v>
      </c>
      <c r="D393" s="73" t="str">
        <f t="shared" si="2"/>
        <v>2026-03</v>
      </c>
      <c r="E393" s="36">
        <v>1200.0</v>
      </c>
      <c r="F393" s="37">
        <v>107.0</v>
      </c>
      <c r="G393" s="36">
        <v>0.0</v>
      </c>
      <c r="H393" s="74"/>
      <c r="I393" s="74">
        <f t="shared" si="4"/>
        <v>8.92</v>
      </c>
      <c r="J393" s="48" t="s">
        <v>978</v>
      </c>
    </row>
    <row r="394">
      <c r="A394" s="76" t="s">
        <v>17</v>
      </c>
      <c r="B394" s="62">
        <v>46175.0</v>
      </c>
      <c r="C394" s="62">
        <f>IFERROR(__xludf.DUMMYFUNCTION("DATE(RIGHT(B394,4), INDEX(SPLIT(B394,""/""),2), INDEX(SPLIT(B394,""/""),1))"),46059.0)</f>
        <v>46059</v>
      </c>
      <c r="D394" s="73" t="str">
        <f t="shared" si="2"/>
        <v>2026-02</v>
      </c>
      <c r="E394" s="36">
        <v>1700.0</v>
      </c>
      <c r="F394" s="37">
        <v>170.0</v>
      </c>
      <c r="G394" s="36">
        <v>2.0</v>
      </c>
      <c r="H394" s="74"/>
      <c r="I394" s="74">
        <f t="shared" si="4"/>
        <v>10.12</v>
      </c>
      <c r="J394" s="48" t="s">
        <v>980</v>
      </c>
    </row>
    <row r="395">
      <c r="A395" s="76" t="s">
        <v>17</v>
      </c>
      <c r="B395" s="62">
        <v>45994.0</v>
      </c>
      <c r="C395" s="62">
        <f>IFERROR(__xludf.DUMMYFUNCTION("DATE(RIGHT(B395,4), INDEX(SPLIT(B395,""/""),2), INDEX(SPLIT(B395,""/""),1))"),45728.0)</f>
        <v>45728</v>
      </c>
      <c r="D395" s="73" t="str">
        <f t="shared" si="2"/>
        <v>2025-03</v>
      </c>
      <c r="E395" s="36">
        <v>3600.0</v>
      </c>
      <c r="F395" s="37">
        <v>292.0</v>
      </c>
      <c r="G395" s="36">
        <v>3.0</v>
      </c>
      <c r="H395" s="74"/>
      <c r="I395" s="74">
        <f t="shared" si="4"/>
        <v>8.19</v>
      </c>
      <c r="J395" s="48" t="s">
        <v>984</v>
      </c>
    </row>
    <row r="396">
      <c r="A396" s="76" t="s">
        <v>17</v>
      </c>
      <c r="B396" s="62">
        <v>45964.0</v>
      </c>
      <c r="C396" s="62">
        <f>IFERROR(__xludf.DUMMYFUNCTION("DATE(RIGHT(B396,4), INDEX(SPLIT(B396,""/""),2), INDEX(SPLIT(B396,""/""),1))"),45727.0)</f>
        <v>45727</v>
      </c>
      <c r="D396" s="73" t="str">
        <f t="shared" si="2"/>
        <v>2025-03</v>
      </c>
      <c r="E396" s="36">
        <v>5400.0</v>
      </c>
      <c r="F396" s="37">
        <v>456.0</v>
      </c>
      <c r="G396" s="36">
        <v>4.0</v>
      </c>
      <c r="H396" s="74"/>
      <c r="I396" s="74">
        <f t="shared" si="4"/>
        <v>8.52</v>
      </c>
      <c r="J396" s="48" t="s">
        <v>984</v>
      </c>
    </row>
    <row r="397">
      <c r="A397" s="76" t="s">
        <v>17</v>
      </c>
      <c r="B397" s="62">
        <v>45994.0</v>
      </c>
      <c r="C397" s="62">
        <f>IFERROR(__xludf.DUMMYFUNCTION("DATE(RIGHT(B397,4), INDEX(SPLIT(B397,""/""),2), INDEX(SPLIT(B397,""/""),1))"),45728.0)</f>
        <v>45728</v>
      </c>
      <c r="D397" s="73" t="str">
        <f t="shared" si="2"/>
        <v>2025-03</v>
      </c>
      <c r="E397" s="36">
        <v>4100.0</v>
      </c>
      <c r="F397" s="37">
        <v>400.0</v>
      </c>
      <c r="G397" s="36">
        <v>1.0</v>
      </c>
      <c r="H397" s="74"/>
      <c r="I397" s="74">
        <f t="shared" si="4"/>
        <v>9.78</v>
      </c>
      <c r="J397" s="48" t="s">
        <v>987</v>
      </c>
    </row>
    <row r="398">
      <c r="A398" s="76" t="s">
        <v>17</v>
      </c>
      <c r="B398" s="62">
        <v>45964.0</v>
      </c>
      <c r="C398" s="62">
        <f>IFERROR(__xludf.DUMMYFUNCTION("DATE(RIGHT(B398,4), INDEX(SPLIT(B398,""/""),2), INDEX(SPLIT(B398,""/""),1))"),45727.0)</f>
        <v>45727</v>
      </c>
      <c r="D398" s="73" t="str">
        <f t="shared" si="2"/>
        <v>2025-03</v>
      </c>
      <c r="E398" s="36">
        <v>4200.0</v>
      </c>
      <c r="F398" s="37">
        <v>306.0</v>
      </c>
      <c r="G398" s="36">
        <v>2.0</v>
      </c>
      <c r="H398" s="74"/>
      <c r="I398" s="74">
        <f t="shared" si="4"/>
        <v>7.33</v>
      </c>
      <c r="J398" s="48" t="s">
        <v>989</v>
      </c>
    </row>
    <row r="399">
      <c r="A399" s="76" t="s">
        <v>17</v>
      </c>
      <c r="B399" s="62">
        <v>45964.0</v>
      </c>
      <c r="C399" s="62">
        <f>IFERROR(__xludf.DUMMYFUNCTION("DATE(RIGHT(B399,4), INDEX(SPLIT(B399,""/""),2), INDEX(SPLIT(B399,""/""),1))"),45727.0)</f>
        <v>45727</v>
      </c>
      <c r="D399" s="73" t="str">
        <f t="shared" si="2"/>
        <v>2025-03</v>
      </c>
      <c r="E399" s="36">
        <v>4300.0</v>
      </c>
      <c r="F399" s="37">
        <v>292.0</v>
      </c>
      <c r="G399" s="36">
        <v>0.0</v>
      </c>
      <c r="H399" s="74"/>
      <c r="I399" s="74">
        <f t="shared" si="4"/>
        <v>6.79</v>
      </c>
      <c r="J399" s="48" t="s">
        <v>991</v>
      </c>
    </row>
    <row r="400">
      <c r="A400" s="76" t="s">
        <v>17</v>
      </c>
      <c r="B400" s="62" t="s">
        <v>993</v>
      </c>
      <c r="C400" s="62">
        <f>IFERROR(__xludf.DUMMYFUNCTION("DATE(RIGHT(B400,4), INDEX(SPLIT(B400,""/""),2), INDEX(SPLIT(B400,""/""),1))"),45734.0)</f>
        <v>45734</v>
      </c>
      <c r="D400" s="73" t="str">
        <f t="shared" si="2"/>
        <v>2025-03</v>
      </c>
      <c r="E400" s="36">
        <v>2800.0</v>
      </c>
      <c r="F400" s="37">
        <v>181.0</v>
      </c>
      <c r="G400" s="36">
        <v>1.0</v>
      </c>
      <c r="H400" s="74"/>
      <c r="I400" s="74">
        <f t="shared" si="4"/>
        <v>6.5</v>
      </c>
      <c r="J400" s="48" t="s">
        <v>994</v>
      </c>
    </row>
    <row r="401">
      <c r="A401" s="76" t="s">
        <v>17</v>
      </c>
      <c r="B401" s="62" t="s">
        <v>996</v>
      </c>
      <c r="C401" s="62">
        <f>IFERROR(__xludf.DUMMYFUNCTION("DATE(RIGHT(B401,4), INDEX(SPLIT(B401,""/""),2), INDEX(SPLIT(B401,""/""),1))"),45733.0)</f>
        <v>45733</v>
      </c>
      <c r="D401" s="73" t="str">
        <f t="shared" si="2"/>
        <v>2025-03</v>
      </c>
      <c r="E401" s="36">
        <v>3000.0</v>
      </c>
      <c r="F401" s="37">
        <v>174.0</v>
      </c>
      <c r="G401" s="36">
        <v>0.0</v>
      </c>
      <c r="H401" s="74"/>
      <c r="I401" s="74">
        <f t="shared" si="4"/>
        <v>5.8</v>
      </c>
      <c r="J401" s="48" t="s">
        <v>997</v>
      </c>
    </row>
    <row r="402">
      <c r="A402" s="76" t="s">
        <v>17</v>
      </c>
      <c r="B402" s="62" t="s">
        <v>996</v>
      </c>
      <c r="C402" s="62">
        <f>IFERROR(__xludf.DUMMYFUNCTION("DATE(RIGHT(B402,4), INDEX(SPLIT(B402,""/""),2), INDEX(SPLIT(B402,""/""),1))"),45733.0)</f>
        <v>45733</v>
      </c>
      <c r="D402" s="73" t="str">
        <f t="shared" si="2"/>
        <v>2025-03</v>
      </c>
      <c r="E402" s="36">
        <v>2500.0</v>
      </c>
      <c r="F402" s="37">
        <v>188.0</v>
      </c>
      <c r="G402" s="36">
        <v>0.0</v>
      </c>
      <c r="H402" s="74"/>
      <c r="I402" s="74">
        <f t="shared" si="4"/>
        <v>7.52</v>
      </c>
      <c r="J402" s="48" t="s">
        <v>999</v>
      </c>
    </row>
    <row r="403">
      <c r="A403" s="76" t="s">
        <v>17</v>
      </c>
      <c r="B403" s="62" t="s">
        <v>993</v>
      </c>
      <c r="C403" s="62">
        <f>IFERROR(__xludf.DUMMYFUNCTION("DATE(RIGHT(B403,4), INDEX(SPLIT(B403,""/""),2), INDEX(SPLIT(B403,""/""),1))"),45734.0)</f>
        <v>45734</v>
      </c>
      <c r="D403" s="73" t="str">
        <f t="shared" si="2"/>
        <v>2025-03</v>
      </c>
      <c r="E403" s="36">
        <v>2100.0</v>
      </c>
      <c r="F403" s="37">
        <v>130.0</v>
      </c>
      <c r="G403" s="36">
        <v>0.0</v>
      </c>
      <c r="H403" s="74"/>
      <c r="I403" s="74">
        <f t="shared" si="4"/>
        <v>6.19</v>
      </c>
      <c r="J403" s="48" t="s">
        <v>1001</v>
      </c>
    </row>
    <row r="404">
      <c r="A404" s="76" t="s">
        <v>17</v>
      </c>
      <c r="B404" s="62" t="s">
        <v>1003</v>
      </c>
      <c r="C404" s="62">
        <f>IFERROR(__xludf.DUMMYFUNCTION("DATE(RIGHT(B404,4), INDEX(SPLIT(B404,""/""),2), INDEX(SPLIT(B404,""/""),1))"),45729.0)</f>
        <v>45729</v>
      </c>
      <c r="D404" s="73" t="str">
        <f t="shared" si="2"/>
        <v>2025-03</v>
      </c>
      <c r="E404" s="36">
        <v>1900.0</v>
      </c>
      <c r="F404" s="37">
        <v>133.0</v>
      </c>
      <c r="G404" s="36">
        <v>0.0</v>
      </c>
      <c r="H404" s="74"/>
      <c r="I404" s="74">
        <f t="shared" si="4"/>
        <v>7</v>
      </c>
      <c r="J404" s="48" t="s">
        <v>1004</v>
      </c>
    </row>
    <row r="405">
      <c r="A405" s="76" t="s">
        <v>17</v>
      </c>
      <c r="B405" s="62" t="s">
        <v>1008</v>
      </c>
      <c r="C405" s="62">
        <f>IFERROR(__xludf.DUMMYFUNCTION("DATE(RIGHT(B405,4), INDEX(SPLIT(B405,""/""),2), INDEX(SPLIT(B405,""/""),1))"),45744.0)</f>
        <v>45744</v>
      </c>
      <c r="D405" s="73" t="str">
        <f t="shared" si="2"/>
        <v>2025-03</v>
      </c>
      <c r="E405" s="36">
        <v>2300.0</v>
      </c>
      <c r="F405" s="37">
        <v>137.0</v>
      </c>
      <c r="G405" s="36">
        <v>1.0</v>
      </c>
      <c r="H405" s="74"/>
      <c r="I405" s="74">
        <f t="shared" si="4"/>
        <v>6</v>
      </c>
      <c r="J405" s="48" t="s">
        <v>1009</v>
      </c>
    </row>
    <row r="406">
      <c r="A406" s="76" t="s">
        <v>17</v>
      </c>
      <c r="B406" s="62" t="s">
        <v>1011</v>
      </c>
      <c r="C406" s="62">
        <f>IFERROR(__xludf.DUMMYFUNCTION("DATE(RIGHT(B406,4), INDEX(SPLIT(B406,""/""),2), INDEX(SPLIT(B406,""/""),1))"),45745.0)</f>
        <v>45745</v>
      </c>
      <c r="D406" s="73" t="str">
        <f t="shared" si="2"/>
        <v>2025-03</v>
      </c>
      <c r="E406" s="36">
        <v>2400.0</v>
      </c>
      <c r="F406" s="37">
        <v>121.0</v>
      </c>
      <c r="G406" s="36">
        <v>0.0</v>
      </c>
      <c r="H406" s="74"/>
      <c r="I406" s="74">
        <f t="shared" si="4"/>
        <v>5.04</v>
      </c>
      <c r="J406" s="48" t="s">
        <v>1012</v>
      </c>
    </row>
    <row r="407">
      <c r="A407" s="76" t="s">
        <v>17</v>
      </c>
      <c r="B407" s="62" t="s">
        <v>1011</v>
      </c>
      <c r="C407" s="62">
        <f>IFERROR(__xludf.DUMMYFUNCTION("DATE(RIGHT(B407,4), INDEX(SPLIT(B407,""/""),2), INDEX(SPLIT(B407,""/""),1))"),45745.0)</f>
        <v>45745</v>
      </c>
      <c r="D407" s="73" t="str">
        <f t="shared" si="2"/>
        <v>2025-03</v>
      </c>
      <c r="E407" s="36">
        <v>1200.0</v>
      </c>
      <c r="F407" s="37">
        <v>57.0</v>
      </c>
      <c r="G407" s="36">
        <v>0.0</v>
      </c>
      <c r="H407" s="74"/>
      <c r="I407" s="74">
        <f t="shared" si="4"/>
        <v>4.75</v>
      </c>
      <c r="J407" s="48" t="s">
        <v>1014</v>
      </c>
    </row>
    <row r="408">
      <c r="A408" s="76" t="s">
        <v>17</v>
      </c>
      <c r="B408" s="62" t="s">
        <v>1008</v>
      </c>
      <c r="C408" s="62">
        <f>IFERROR(__xludf.DUMMYFUNCTION("DATE(RIGHT(B408,4), INDEX(SPLIT(B408,""/""),2), INDEX(SPLIT(B408,""/""),1))"),45744.0)</f>
        <v>45744</v>
      </c>
      <c r="D408" s="73" t="str">
        <f t="shared" si="2"/>
        <v>2025-03</v>
      </c>
      <c r="E408" s="36">
        <v>1700.0</v>
      </c>
      <c r="F408" s="37">
        <v>87.0</v>
      </c>
      <c r="G408" s="36">
        <v>0.0</v>
      </c>
      <c r="H408" s="74"/>
      <c r="I408" s="74">
        <f t="shared" si="4"/>
        <v>5.12</v>
      </c>
      <c r="J408" s="48" t="s">
        <v>1016</v>
      </c>
    </row>
    <row r="409">
      <c r="A409" s="76" t="s">
        <v>17</v>
      </c>
      <c r="B409" s="62">
        <v>45661.0</v>
      </c>
      <c r="C409" s="62">
        <f>IFERROR(__xludf.DUMMYFUNCTION("DATE(RIGHT(B409,4), INDEX(SPLIT(B409,""/""),2), INDEX(SPLIT(B409,""/""),1))"),45748.0)</f>
        <v>45748</v>
      </c>
      <c r="D409" s="73" t="str">
        <f t="shared" si="2"/>
        <v>2025-04</v>
      </c>
      <c r="E409" s="36">
        <v>2100.0</v>
      </c>
      <c r="F409" s="37">
        <v>93.0</v>
      </c>
      <c r="G409" s="36">
        <v>1.0</v>
      </c>
      <c r="H409" s="74"/>
      <c r="I409" s="74">
        <f t="shared" si="4"/>
        <v>4.48</v>
      </c>
      <c r="J409" s="48" t="s">
        <v>1018</v>
      </c>
    </row>
    <row r="410">
      <c r="A410" s="76" t="s">
        <v>17</v>
      </c>
      <c r="B410" s="62">
        <v>45661.0</v>
      </c>
      <c r="C410" s="62">
        <f>IFERROR(__xludf.DUMMYFUNCTION("DATE(RIGHT(B410,4), INDEX(SPLIT(B410,""/""),2), INDEX(SPLIT(B410,""/""),1))"),45748.0)</f>
        <v>45748</v>
      </c>
      <c r="D410" s="73" t="str">
        <f t="shared" si="2"/>
        <v>2025-04</v>
      </c>
      <c r="E410" s="36">
        <v>1700.0</v>
      </c>
      <c r="F410" s="37">
        <v>83.0</v>
      </c>
      <c r="G410" s="36">
        <v>0.0</v>
      </c>
      <c r="H410" s="74"/>
      <c r="I410" s="74">
        <f t="shared" si="4"/>
        <v>4.88</v>
      </c>
      <c r="J410" s="48" t="s">
        <v>1020</v>
      </c>
    </row>
    <row r="411">
      <c r="A411" s="76" t="s">
        <v>17</v>
      </c>
      <c r="B411" s="62">
        <v>45661.0</v>
      </c>
      <c r="C411" s="62">
        <f>IFERROR(__xludf.DUMMYFUNCTION("DATE(RIGHT(B411,4), INDEX(SPLIT(B411,""/""),2), INDEX(SPLIT(B411,""/""),1))"),45748.0)</f>
        <v>45748</v>
      </c>
      <c r="D411" s="73" t="str">
        <f t="shared" si="2"/>
        <v>2025-04</v>
      </c>
      <c r="E411" s="36">
        <v>1100.0</v>
      </c>
      <c r="F411" s="37">
        <v>64.0</v>
      </c>
      <c r="G411" s="36">
        <v>0.0</v>
      </c>
      <c r="H411" s="74"/>
      <c r="I411" s="74">
        <f t="shared" si="4"/>
        <v>5.82</v>
      </c>
      <c r="J411" s="48" t="s">
        <v>1022</v>
      </c>
    </row>
    <row r="412">
      <c r="A412" s="76" t="s">
        <v>17</v>
      </c>
      <c r="B412" s="62">
        <v>45692.0</v>
      </c>
      <c r="C412" s="62">
        <f>IFERROR(__xludf.DUMMYFUNCTION("DATE(RIGHT(B412,4), INDEX(SPLIT(B412,""/""),2), INDEX(SPLIT(B412,""/""),1))"),45749.0)</f>
        <v>45749</v>
      </c>
      <c r="D412" s="73" t="str">
        <f t="shared" si="2"/>
        <v>2025-04</v>
      </c>
      <c r="E412" s="36">
        <v>1100.0</v>
      </c>
      <c r="F412" s="37">
        <v>80.0</v>
      </c>
      <c r="G412" s="36">
        <v>0.0</v>
      </c>
      <c r="H412" s="74"/>
      <c r="I412" s="74">
        <f t="shared" si="4"/>
        <v>7.27</v>
      </c>
      <c r="J412" s="48" t="s">
        <v>1026</v>
      </c>
    </row>
    <row r="413">
      <c r="A413" s="76" t="s">
        <v>17</v>
      </c>
      <c r="B413" s="62">
        <v>45720.0</v>
      </c>
      <c r="C413" s="62">
        <f>IFERROR(__xludf.DUMMYFUNCTION("DATE(RIGHT(B413,4), INDEX(SPLIT(B413,""/""),2), INDEX(SPLIT(B413,""/""),1))"),45750.0)</f>
        <v>45750</v>
      </c>
      <c r="D413" s="73" t="str">
        <f t="shared" si="2"/>
        <v>2025-04</v>
      </c>
      <c r="E413" s="36">
        <v>1200.0</v>
      </c>
      <c r="F413" s="37">
        <v>80.0</v>
      </c>
      <c r="G413" s="36">
        <v>0.0</v>
      </c>
      <c r="H413" s="74"/>
      <c r="I413" s="74">
        <f t="shared" si="4"/>
        <v>6.67</v>
      </c>
      <c r="J413" s="48" t="s">
        <v>1028</v>
      </c>
    </row>
    <row r="414">
      <c r="A414" s="76" t="s">
        <v>17</v>
      </c>
      <c r="B414" s="62">
        <v>45751.0</v>
      </c>
      <c r="C414" s="62">
        <f>IFERROR(__xludf.DUMMYFUNCTION("DATE(RIGHT(B414,4), INDEX(SPLIT(B414,""/""),2), INDEX(SPLIT(B414,""/""),1))"),45751.0)</f>
        <v>45751</v>
      </c>
      <c r="D414" s="73" t="str">
        <f t="shared" si="2"/>
        <v>2025-04</v>
      </c>
      <c r="E414" s="36">
        <v>827.0</v>
      </c>
      <c r="F414" s="37">
        <v>69.0</v>
      </c>
      <c r="G414" s="36">
        <v>0.0</v>
      </c>
      <c r="H414" s="74"/>
      <c r="I414" s="74">
        <f t="shared" si="4"/>
        <v>8.34</v>
      </c>
      <c r="J414" s="48" t="s">
        <v>1030</v>
      </c>
    </row>
    <row r="415">
      <c r="A415" s="76" t="s">
        <v>17</v>
      </c>
      <c r="B415" s="62">
        <v>45692.0</v>
      </c>
      <c r="C415" s="62">
        <f>IFERROR(__xludf.DUMMYFUNCTION("DATE(RIGHT(B415,4), INDEX(SPLIT(B415,""/""),2), INDEX(SPLIT(B415,""/""),1))"),45749.0)</f>
        <v>45749</v>
      </c>
      <c r="D415" s="73" t="str">
        <f t="shared" si="2"/>
        <v>2025-04</v>
      </c>
      <c r="E415" s="36">
        <v>925.0</v>
      </c>
      <c r="F415" s="37">
        <v>58.0</v>
      </c>
      <c r="G415" s="36">
        <v>0.0</v>
      </c>
      <c r="H415" s="74"/>
      <c r="I415" s="74">
        <f t="shared" si="4"/>
        <v>6.27</v>
      </c>
      <c r="J415" s="48" t="s">
        <v>1032</v>
      </c>
    </row>
    <row r="416">
      <c r="A416" s="76" t="s">
        <v>17</v>
      </c>
      <c r="B416" s="62">
        <v>45751.0</v>
      </c>
      <c r="C416" s="62">
        <f>IFERROR(__xludf.DUMMYFUNCTION("DATE(RIGHT(B416,4), INDEX(SPLIT(B416,""/""),2), INDEX(SPLIT(B416,""/""),1))"),45751.0)</f>
        <v>45751</v>
      </c>
      <c r="D416" s="73" t="str">
        <f t="shared" si="2"/>
        <v>2025-04</v>
      </c>
      <c r="E416" s="36">
        <v>1000.0</v>
      </c>
      <c r="F416" s="37">
        <v>72.0</v>
      </c>
      <c r="G416" s="36">
        <v>0.0</v>
      </c>
      <c r="H416" s="74"/>
      <c r="I416" s="74">
        <f t="shared" si="4"/>
        <v>7.2</v>
      </c>
      <c r="J416" s="48" t="s">
        <v>1034</v>
      </c>
    </row>
    <row r="417">
      <c r="A417" s="76" t="s">
        <v>17</v>
      </c>
      <c r="B417" s="62">
        <v>45720.0</v>
      </c>
      <c r="C417" s="62">
        <f>IFERROR(__xludf.DUMMYFUNCTION("DATE(RIGHT(B417,4), INDEX(SPLIT(B417,""/""),2), INDEX(SPLIT(B417,""/""),1))"),45750.0)</f>
        <v>45750</v>
      </c>
      <c r="D417" s="73" t="str">
        <f t="shared" si="2"/>
        <v>2025-04</v>
      </c>
      <c r="E417" s="36">
        <v>1200.0</v>
      </c>
      <c r="F417" s="37">
        <v>57.0</v>
      </c>
      <c r="G417" s="36">
        <v>1.0</v>
      </c>
      <c r="H417" s="74"/>
      <c r="I417" s="74">
        <f t="shared" si="4"/>
        <v>4.83</v>
      </c>
      <c r="J417" s="48" t="s">
        <v>1036</v>
      </c>
    </row>
    <row r="418">
      <c r="A418" s="76" t="s">
        <v>17</v>
      </c>
      <c r="B418" s="62" t="s">
        <v>1039</v>
      </c>
      <c r="C418" s="62">
        <f>IFERROR(__xludf.DUMMYFUNCTION("DATE(RIGHT(B418,4), INDEX(SPLIT(B418,""/""),2), INDEX(SPLIT(B418,""/""),1))"),45768.0)</f>
        <v>45768</v>
      </c>
      <c r="D418" s="73" t="str">
        <f t="shared" si="2"/>
        <v>2025-04</v>
      </c>
      <c r="E418" s="36">
        <v>5600.0</v>
      </c>
      <c r="F418" s="37">
        <v>567.0</v>
      </c>
      <c r="G418" s="36">
        <v>2.0</v>
      </c>
      <c r="H418" s="74"/>
      <c r="I418" s="74">
        <f t="shared" si="4"/>
        <v>10.16</v>
      </c>
      <c r="J418" s="48" t="s">
        <v>1041</v>
      </c>
    </row>
    <row r="419">
      <c r="A419" s="76" t="s">
        <v>17</v>
      </c>
      <c r="B419" s="62" t="s">
        <v>1039</v>
      </c>
      <c r="C419" s="62">
        <f>IFERROR(__xludf.DUMMYFUNCTION("DATE(RIGHT(B419,4), INDEX(SPLIT(B419,""/""),2), INDEX(SPLIT(B419,""/""),1))"),45768.0)</f>
        <v>45768</v>
      </c>
      <c r="D419" s="73" t="str">
        <f t="shared" si="2"/>
        <v>2025-04</v>
      </c>
      <c r="E419" s="36">
        <v>5300.0</v>
      </c>
      <c r="F419" s="37">
        <v>665.0</v>
      </c>
      <c r="G419" s="36">
        <v>0.0</v>
      </c>
      <c r="H419" s="74"/>
      <c r="I419" s="74">
        <f t="shared" si="4"/>
        <v>12.55</v>
      </c>
      <c r="J419" s="48" t="s">
        <v>1042</v>
      </c>
    </row>
    <row r="420">
      <c r="A420" s="76" t="s">
        <v>17</v>
      </c>
      <c r="B420" s="62" t="s">
        <v>1039</v>
      </c>
      <c r="C420" s="62">
        <f>IFERROR(__xludf.DUMMYFUNCTION("DATE(RIGHT(B420,4), INDEX(SPLIT(B420,""/""),2), INDEX(SPLIT(B420,""/""),1))"),45768.0)</f>
        <v>45768</v>
      </c>
      <c r="D420" s="73" t="str">
        <f t="shared" si="2"/>
        <v>2025-04</v>
      </c>
      <c r="E420" s="36">
        <v>5100.0</v>
      </c>
      <c r="F420" s="37">
        <v>560.0</v>
      </c>
      <c r="G420" s="36">
        <v>2.0</v>
      </c>
      <c r="H420" s="74"/>
      <c r="I420" s="74">
        <f t="shared" si="4"/>
        <v>11.02</v>
      </c>
      <c r="J420" s="48" t="s">
        <v>1043</v>
      </c>
    </row>
    <row r="421">
      <c r="A421" s="76" t="s">
        <v>17</v>
      </c>
      <c r="B421" s="62" t="s">
        <v>1047</v>
      </c>
      <c r="C421" s="62">
        <f>IFERROR(__xludf.DUMMYFUNCTION("DATE(RIGHT(B421,4), INDEX(SPLIT(B421,""/""),2), INDEX(SPLIT(B421,""/""),1))"),44464.0)</f>
        <v>44464</v>
      </c>
      <c r="D421" s="73" t="str">
        <f t="shared" si="2"/>
        <v>2021-09</v>
      </c>
      <c r="E421" s="36">
        <v>32700.0</v>
      </c>
      <c r="F421" s="37">
        <v>2000.0</v>
      </c>
      <c r="G421" s="36">
        <v>31.0</v>
      </c>
      <c r="H421" s="74"/>
      <c r="I421" s="74">
        <f t="shared" si="4"/>
        <v>6.21</v>
      </c>
      <c r="J421" s="48" t="s">
        <v>1048</v>
      </c>
    </row>
    <row r="422">
      <c r="A422" s="76" t="s">
        <v>17</v>
      </c>
      <c r="B422" s="62" t="s">
        <v>1050</v>
      </c>
      <c r="C422" s="62">
        <f>IFERROR(__xludf.DUMMYFUNCTION("DATE(RIGHT(B422,4), INDEX(SPLIT(B422,""/""),2), INDEX(SPLIT(B422,""/""),1))"),44469.0)</f>
        <v>44469</v>
      </c>
      <c r="D422" s="73" t="str">
        <f t="shared" si="2"/>
        <v>2021-09</v>
      </c>
      <c r="E422" s="36">
        <v>14800.0</v>
      </c>
      <c r="F422" s="37">
        <v>842.0</v>
      </c>
      <c r="G422" s="36">
        <v>16.0</v>
      </c>
      <c r="H422" s="74"/>
      <c r="I422" s="74">
        <f t="shared" si="4"/>
        <v>5.8</v>
      </c>
      <c r="J422" s="48" t="s">
        <v>1051</v>
      </c>
    </row>
    <row r="423">
      <c r="A423" s="76" t="s">
        <v>17</v>
      </c>
      <c r="B423" s="36" t="s">
        <v>1076</v>
      </c>
      <c r="C423" s="62">
        <f t="shared" ref="C423:C424" si="8">DATE(RIGHT(B423,4), MID(B423,4,2), LEFT(B423,2))</f>
        <v>44467</v>
      </c>
      <c r="D423" s="73" t="str">
        <f t="shared" si="2"/>
        <v>2021-09</v>
      </c>
      <c r="E423" s="36">
        <v>36800.0</v>
      </c>
      <c r="F423" s="37">
        <v>2600.0</v>
      </c>
      <c r="G423" s="36">
        <v>58.0</v>
      </c>
      <c r="H423" s="74"/>
      <c r="I423" s="74">
        <f t="shared" si="4"/>
        <v>7.22</v>
      </c>
      <c r="J423" s="48" t="s">
        <v>1054</v>
      </c>
    </row>
    <row r="424">
      <c r="A424" s="76" t="s">
        <v>17</v>
      </c>
      <c r="B424" s="62" t="s">
        <v>1056</v>
      </c>
      <c r="C424" s="62">
        <f t="shared" si="8"/>
        <v>44550</v>
      </c>
      <c r="D424" s="73" t="str">
        <f t="shared" si="2"/>
        <v>2021-12</v>
      </c>
      <c r="E424" s="36">
        <v>13100.0</v>
      </c>
      <c r="F424" s="37">
        <v>585.0</v>
      </c>
      <c r="G424" s="36">
        <v>0.0</v>
      </c>
      <c r="H424" s="74"/>
      <c r="I424" s="74">
        <f t="shared" si="4"/>
        <v>4.47</v>
      </c>
      <c r="J424" s="48" t="s">
        <v>1057</v>
      </c>
    </row>
    <row r="425">
      <c r="A425" s="76" t="s">
        <v>17</v>
      </c>
      <c r="B425" s="62">
        <v>45994.0</v>
      </c>
      <c r="C425" s="62">
        <f>IFERROR(__xludf.DUMMYFUNCTION("DATE(RIGHT(B425,4), INDEX(SPLIT(B425,""/""),2), INDEX(SPLIT(B425,""/""),1))"),45728.0)</f>
        <v>45728</v>
      </c>
      <c r="D425" s="73" t="str">
        <f t="shared" si="2"/>
        <v>2025-03</v>
      </c>
      <c r="E425" s="36">
        <v>2600.0</v>
      </c>
      <c r="F425" s="37">
        <v>181.0</v>
      </c>
      <c r="G425" s="36">
        <v>0.0</v>
      </c>
      <c r="H425" s="74"/>
      <c r="I425" s="74">
        <f t="shared" si="4"/>
        <v>6.96</v>
      </c>
      <c r="J425" s="48" t="s">
        <v>1059</v>
      </c>
    </row>
    <row r="426">
      <c r="A426" s="76" t="s">
        <v>17</v>
      </c>
      <c r="B426" s="62" t="s">
        <v>996</v>
      </c>
      <c r="C426" s="62">
        <f>IFERROR(__xludf.DUMMYFUNCTION("DATE(RIGHT(B426,4), INDEX(SPLIT(B426,""/""),2), INDEX(SPLIT(B426,""/""),1))"),45733.0)</f>
        <v>45733</v>
      </c>
      <c r="D426" s="73" t="str">
        <f t="shared" si="2"/>
        <v>2025-03</v>
      </c>
      <c r="E426" s="36">
        <v>1900.0</v>
      </c>
      <c r="F426" s="37">
        <v>126.0</v>
      </c>
      <c r="G426" s="36">
        <v>1.0</v>
      </c>
      <c r="H426" s="74"/>
      <c r="I426" s="74">
        <f t="shared" si="4"/>
        <v>6.68</v>
      </c>
      <c r="J426" s="48" t="s">
        <v>1061</v>
      </c>
    </row>
    <row r="427">
      <c r="A427" s="76" t="s">
        <v>17</v>
      </c>
      <c r="B427" s="62" t="s">
        <v>1003</v>
      </c>
      <c r="C427" s="62">
        <f>IFERROR(__xludf.DUMMYFUNCTION("DATE(RIGHT(B427,4), INDEX(SPLIT(B427,""/""),2), INDEX(SPLIT(B427,""/""),1))"),45729.0)</f>
        <v>45729</v>
      </c>
      <c r="D427" s="73" t="str">
        <f t="shared" si="2"/>
        <v>2025-03</v>
      </c>
      <c r="E427" s="36">
        <v>1700.0</v>
      </c>
      <c r="F427" s="37">
        <v>105.0</v>
      </c>
      <c r="G427" s="36">
        <v>0.0</v>
      </c>
      <c r="H427" s="74"/>
      <c r="I427" s="74">
        <f t="shared" si="4"/>
        <v>6.18</v>
      </c>
      <c r="J427" s="48" t="s">
        <v>1063</v>
      </c>
    </row>
    <row r="428">
      <c r="A428" s="76" t="s">
        <v>17</v>
      </c>
      <c r="B428" s="62" t="s">
        <v>993</v>
      </c>
      <c r="C428" s="62">
        <f>IFERROR(__xludf.DUMMYFUNCTION("DATE(RIGHT(B428,4), INDEX(SPLIT(B428,""/""),2), INDEX(SPLIT(B428,""/""),1))"),45734.0)</f>
        <v>45734</v>
      </c>
      <c r="D428" s="73" t="str">
        <f t="shared" si="2"/>
        <v>2025-03</v>
      </c>
      <c r="E428" s="36">
        <v>1700.0</v>
      </c>
      <c r="F428" s="37">
        <v>81.0</v>
      </c>
      <c r="G428" s="36">
        <v>0.0</v>
      </c>
      <c r="H428" s="74"/>
      <c r="I428" s="74">
        <f t="shared" si="4"/>
        <v>4.76</v>
      </c>
      <c r="J428" s="48" t="s">
        <v>1065</v>
      </c>
    </row>
    <row r="429">
      <c r="A429" s="76" t="s">
        <v>17</v>
      </c>
      <c r="B429" s="62" t="s">
        <v>993</v>
      </c>
      <c r="C429" s="62">
        <f>IFERROR(__xludf.DUMMYFUNCTION("DATE(RIGHT(B429,4), INDEX(SPLIT(B429,""/""),2), INDEX(SPLIT(B429,""/""),1))"),45734.0)</f>
        <v>45734</v>
      </c>
      <c r="D429" s="73" t="str">
        <f t="shared" si="2"/>
        <v>2025-03</v>
      </c>
      <c r="E429" s="36">
        <v>1600.0</v>
      </c>
      <c r="F429" s="37">
        <v>82.0</v>
      </c>
      <c r="G429" s="36">
        <v>0.0</v>
      </c>
      <c r="H429" s="74"/>
      <c r="I429" s="74">
        <f t="shared" si="4"/>
        <v>5.13</v>
      </c>
      <c r="J429" s="48" t="s">
        <v>1067</v>
      </c>
    </row>
    <row r="430">
      <c r="A430" s="78" t="s">
        <v>17</v>
      </c>
      <c r="B430" s="65" t="s">
        <v>1003</v>
      </c>
      <c r="C430" s="65">
        <f>IFERROR(__xludf.DUMMYFUNCTION("DATE(RIGHT(B430,4), INDEX(SPLIT(B430,""/""),2), INDEX(SPLIT(B430,""/""),1))"),45729.0)</f>
        <v>45729</v>
      </c>
      <c r="D430" s="79" t="str">
        <f t="shared" si="2"/>
        <v>2025-03</v>
      </c>
      <c r="E430" s="44">
        <v>1800.0</v>
      </c>
      <c r="F430" s="45">
        <v>82.0</v>
      </c>
      <c r="G430" s="44">
        <v>1.0</v>
      </c>
      <c r="H430" s="80"/>
      <c r="I430" s="80">
        <f t="shared" si="4"/>
        <v>4.61</v>
      </c>
      <c r="J430" s="49" t="s">
        <v>1069</v>
      </c>
    </row>
    <row r="431">
      <c r="B431" s="81"/>
      <c r="C431" s="81"/>
      <c r="D431" s="81"/>
    </row>
    <row r="432">
      <c r="B432" s="81"/>
      <c r="C432" s="81"/>
      <c r="D432" s="81"/>
    </row>
    <row r="433">
      <c r="B433" s="81"/>
      <c r="C433" s="81"/>
      <c r="D433" s="81"/>
    </row>
    <row r="434">
      <c r="B434" s="81"/>
      <c r="C434" s="81"/>
      <c r="D434" s="81"/>
    </row>
    <row r="435">
      <c r="B435" s="81"/>
      <c r="C435" s="81"/>
      <c r="D435" s="81"/>
    </row>
    <row r="436">
      <c r="B436" s="81"/>
      <c r="C436" s="81"/>
      <c r="D436" s="81"/>
    </row>
    <row r="437">
      <c r="B437" s="81"/>
      <c r="C437" s="81"/>
      <c r="D437" s="81"/>
    </row>
    <row r="438">
      <c r="B438" s="81"/>
      <c r="C438" s="81"/>
      <c r="D438" s="81"/>
    </row>
    <row r="439">
      <c r="B439" s="81"/>
      <c r="C439" s="81"/>
      <c r="D439" s="81"/>
    </row>
    <row r="440">
      <c r="B440" s="81"/>
      <c r="C440" s="81"/>
      <c r="D440" s="81"/>
    </row>
    <row r="441">
      <c r="B441" s="81"/>
      <c r="C441" s="81"/>
      <c r="D441" s="81"/>
    </row>
    <row r="442">
      <c r="B442" s="81"/>
      <c r="C442" s="81"/>
      <c r="D442" s="81"/>
    </row>
    <row r="443">
      <c r="B443" s="81"/>
      <c r="C443" s="81"/>
      <c r="D443" s="81"/>
    </row>
    <row r="444">
      <c r="B444" s="81"/>
      <c r="C444" s="81"/>
      <c r="D444" s="81"/>
    </row>
    <row r="445">
      <c r="B445" s="81"/>
      <c r="C445" s="81"/>
      <c r="D445" s="81"/>
    </row>
    <row r="446">
      <c r="B446" s="81"/>
      <c r="C446" s="81"/>
      <c r="D446" s="81"/>
    </row>
    <row r="447">
      <c r="B447" s="81"/>
      <c r="C447" s="81"/>
      <c r="D447" s="81"/>
    </row>
    <row r="448">
      <c r="B448" s="81"/>
      <c r="C448" s="81"/>
      <c r="D448" s="81"/>
    </row>
    <row r="449">
      <c r="B449" s="81"/>
      <c r="C449" s="81"/>
      <c r="D449" s="81"/>
    </row>
    <row r="450">
      <c r="B450" s="81"/>
      <c r="C450" s="81"/>
      <c r="D450" s="81"/>
    </row>
    <row r="451">
      <c r="B451" s="81"/>
      <c r="C451" s="81"/>
      <c r="D451" s="81"/>
    </row>
    <row r="452">
      <c r="B452" s="81"/>
      <c r="C452" s="81"/>
      <c r="D452" s="81"/>
    </row>
    <row r="453">
      <c r="B453" s="81"/>
      <c r="C453" s="81"/>
      <c r="D453" s="81"/>
    </row>
    <row r="454">
      <c r="B454" s="81"/>
      <c r="C454" s="81"/>
      <c r="D454" s="81"/>
    </row>
    <row r="455">
      <c r="B455" s="81"/>
      <c r="C455" s="81"/>
      <c r="D455" s="81"/>
    </row>
    <row r="456">
      <c r="B456" s="81"/>
      <c r="C456" s="81"/>
      <c r="D456" s="81"/>
    </row>
    <row r="457">
      <c r="B457" s="81"/>
      <c r="C457" s="81"/>
      <c r="D457" s="81"/>
    </row>
    <row r="458">
      <c r="B458" s="81"/>
      <c r="C458" s="81"/>
      <c r="D458" s="81"/>
    </row>
    <row r="459">
      <c r="B459" s="81"/>
      <c r="C459" s="81"/>
      <c r="D459" s="81"/>
    </row>
    <row r="460">
      <c r="B460" s="81"/>
      <c r="C460" s="81"/>
      <c r="D460" s="81"/>
    </row>
    <row r="461">
      <c r="B461" s="81"/>
      <c r="C461" s="81"/>
      <c r="D461" s="81"/>
    </row>
    <row r="462">
      <c r="B462" s="81"/>
      <c r="C462" s="81"/>
      <c r="D462" s="81"/>
    </row>
    <row r="463">
      <c r="B463" s="81"/>
      <c r="C463" s="81"/>
      <c r="D463" s="81"/>
    </row>
    <row r="464">
      <c r="B464" s="81"/>
      <c r="C464" s="81"/>
      <c r="D464" s="81"/>
    </row>
    <row r="465">
      <c r="B465" s="81"/>
      <c r="C465" s="81"/>
      <c r="D465" s="81"/>
    </row>
    <row r="466">
      <c r="B466" s="81"/>
      <c r="C466" s="81"/>
      <c r="D466" s="81"/>
    </row>
    <row r="467">
      <c r="B467" s="81"/>
      <c r="C467" s="81"/>
      <c r="D467" s="81"/>
    </row>
    <row r="468">
      <c r="B468" s="81"/>
      <c r="C468" s="81"/>
      <c r="D468" s="81"/>
    </row>
    <row r="469">
      <c r="B469" s="81"/>
      <c r="C469" s="81"/>
      <c r="D469" s="81"/>
    </row>
    <row r="470">
      <c r="B470" s="81"/>
      <c r="C470" s="81"/>
      <c r="D470" s="81"/>
    </row>
    <row r="471">
      <c r="B471" s="81"/>
      <c r="C471" s="81"/>
      <c r="D471" s="81"/>
    </row>
    <row r="472">
      <c r="B472" s="81"/>
      <c r="C472" s="81"/>
      <c r="D472" s="81"/>
    </row>
    <row r="473">
      <c r="B473" s="81"/>
      <c r="C473" s="81"/>
      <c r="D473" s="81"/>
    </row>
    <row r="474">
      <c r="B474" s="81"/>
      <c r="C474" s="81"/>
      <c r="D474" s="81"/>
    </row>
    <row r="475">
      <c r="B475" s="81"/>
      <c r="C475" s="81"/>
      <c r="D475" s="81"/>
    </row>
    <row r="476">
      <c r="B476" s="81"/>
      <c r="C476" s="81"/>
      <c r="D476" s="81"/>
    </row>
    <row r="477">
      <c r="B477" s="81"/>
      <c r="C477" s="81"/>
      <c r="D477" s="81"/>
    </row>
    <row r="478">
      <c r="B478" s="81"/>
      <c r="C478" s="81"/>
      <c r="D478" s="81"/>
    </row>
    <row r="479">
      <c r="B479" s="81"/>
      <c r="C479" s="81"/>
      <c r="D479" s="81"/>
    </row>
    <row r="480">
      <c r="B480" s="81"/>
      <c r="C480" s="81"/>
      <c r="D480" s="81"/>
    </row>
    <row r="481">
      <c r="B481" s="81"/>
      <c r="C481" s="81"/>
      <c r="D481" s="81"/>
    </row>
    <row r="482">
      <c r="B482" s="81"/>
      <c r="C482" s="81"/>
      <c r="D482" s="81"/>
    </row>
    <row r="483">
      <c r="B483" s="81"/>
      <c r="C483" s="81"/>
      <c r="D483" s="81"/>
    </row>
    <row r="484">
      <c r="B484" s="81"/>
      <c r="C484" s="81"/>
      <c r="D484" s="81"/>
    </row>
    <row r="485">
      <c r="B485" s="81"/>
      <c r="C485" s="81"/>
      <c r="D485" s="81"/>
    </row>
    <row r="486">
      <c r="B486" s="81"/>
      <c r="C486" s="81"/>
      <c r="D486" s="81"/>
    </row>
    <row r="487">
      <c r="B487" s="81"/>
      <c r="C487" s="81"/>
      <c r="D487" s="81"/>
    </row>
    <row r="488">
      <c r="B488" s="81"/>
      <c r="C488" s="81"/>
      <c r="D488" s="81"/>
    </row>
    <row r="489">
      <c r="B489" s="81"/>
      <c r="C489" s="81"/>
      <c r="D489" s="81"/>
    </row>
    <row r="490">
      <c r="B490" s="81"/>
      <c r="C490" s="81"/>
      <c r="D490" s="81"/>
    </row>
    <row r="491">
      <c r="B491" s="81"/>
      <c r="C491" s="81"/>
      <c r="D491" s="81"/>
    </row>
    <row r="492">
      <c r="B492" s="81"/>
      <c r="C492" s="81"/>
      <c r="D492" s="81"/>
    </row>
    <row r="493">
      <c r="B493" s="81"/>
      <c r="C493" s="81"/>
      <c r="D493" s="81"/>
    </row>
    <row r="494">
      <c r="B494" s="81"/>
      <c r="C494" s="81"/>
      <c r="D494" s="81"/>
    </row>
    <row r="495">
      <c r="B495" s="81"/>
      <c r="C495" s="81"/>
      <c r="D495" s="81"/>
    </row>
    <row r="496">
      <c r="B496" s="81"/>
      <c r="C496" s="81"/>
      <c r="D496" s="81"/>
    </row>
    <row r="497">
      <c r="B497" s="81"/>
      <c r="C497" s="81"/>
      <c r="D497" s="81"/>
    </row>
    <row r="498">
      <c r="B498" s="81"/>
      <c r="C498" s="81"/>
      <c r="D498" s="81"/>
    </row>
    <row r="499">
      <c r="B499" s="81"/>
      <c r="C499" s="81"/>
      <c r="D499" s="81"/>
    </row>
    <row r="500">
      <c r="B500" s="81"/>
      <c r="C500" s="81"/>
      <c r="D500" s="81"/>
    </row>
    <row r="501">
      <c r="B501" s="81"/>
      <c r="C501" s="81"/>
      <c r="D501" s="81"/>
    </row>
    <row r="502">
      <c r="B502" s="81"/>
      <c r="C502" s="81"/>
      <c r="D502" s="81"/>
    </row>
    <row r="503">
      <c r="B503" s="81"/>
      <c r="C503" s="81"/>
      <c r="D503" s="81"/>
    </row>
    <row r="504">
      <c r="B504" s="81"/>
      <c r="C504" s="81"/>
      <c r="D504" s="81"/>
    </row>
    <row r="505">
      <c r="B505" s="81"/>
      <c r="C505" s="81"/>
      <c r="D505" s="81"/>
    </row>
    <row r="506">
      <c r="B506" s="81"/>
      <c r="C506" s="81"/>
      <c r="D506" s="81"/>
    </row>
    <row r="507">
      <c r="B507" s="81"/>
      <c r="C507" s="81"/>
      <c r="D507" s="81"/>
    </row>
    <row r="508">
      <c r="B508" s="81"/>
      <c r="C508" s="81"/>
      <c r="D508" s="81"/>
    </row>
    <row r="509">
      <c r="B509" s="81"/>
      <c r="C509" s="81"/>
      <c r="D509" s="81"/>
    </row>
    <row r="510">
      <c r="B510" s="81"/>
      <c r="C510" s="81"/>
      <c r="D510" s="81"/>
    </row>
    <row r="511">
      <c r="B511" s="81"/>
      <c r="C511" s="81"/>
      <c r="D511" s="81"/>
    </row>
    <row r="512">
      <c r="B512" s="81"/>
      <c r="C512" s="81"/>
      <c r="D512" s="81"/>
    </row>
    <row r="513">
      <c r="B513" s="81"/>
      <c r="C513" s="81"/>
      <c r="D513" s="81"/>
    </row>
    <row r="514">
      <c r="B514" s="81"/>
      <c r="C514" s="81"/>
      <c r="D514" s="81"/>
    </row>
    <row r="515">
      <c r="B515" s="81"/>
      <c r="C515" s="81"/>
      <c r="D515" s="81"/>
    </row>
    <row r="516">
      <c r="B516" s="81"/>
      <c r="C516" s="81"/>
      <c r="D516" s="81"/>
    </row>
    <row r="517">
      <c r="B517" s="81"/>
      <c r="C517" s="81"/>
      <c r="D517" s="81"/>
    </row>
    <row r="518">
      <c r="B518" s="81"/>
      <c r="C518" s="81"/>
      <c r="D518" s="81"/>
    </row>
    <row r="519">
      <c r="B519" s="81"/>
      <c r="C519" s="81"/>
      <c r="D519" s="81"/>
    </row>
    <row r="520">
      <c r="B520" s="81"/>
      <c r="C520" s="81"/>
      <c r="D520" s="81"/>
    </row>
    <row r="521">
      <c r="B521" s="81"/>
      <c r="C521" s="81"/>
      <c r="D521" s="81"/>
    </row>
    <row r="522">
      <c r="B522" s="81"/>
      <c r="C522" s="81"/>
      <c r="D522" s="81"/>
    </row>
    <row r="523">
      <c r="B523" s="81"/>
      <c r="C523" s="81"/>
      <c r="D523" s="81"/>
    </row>
    <row r="524">
      <c r="B524" s="81"/>
      <c r="C524" s="81"/>
      <c r="D524" s="81"/>
    </row>
    <row r="525">
      <c r="B525" s="81"/>
      <c r="C525" s="81"/>
      <c r="D525" s="81"/>
    </row>
    <row r="526">
      <c r="B526" s="81"/>
      <c r="C526" s="81"/>
      <c r="D526" s="81"/>
    </row>
    <row r="527">
      <c r="B527" s="81"/>
      <c r="C527" s="81"/>
      <c r="D527" s="81"/>
    </row>
    <row r="528">
      <c r="B528" s="81"/>
      <c r="C528" s="81"/>
      <c r="D528" s="81"/>
    </row>
    <row r="529">
      <c r="B529" s="81"/>
      <c r="C529" s="81"/>
      <c r="D529" s="81"/>
    </row>
    <row r="530">
      <c r="B530" s="81"/>
      <c r="C530" s="81"/>
      <c r="D530" s="81"/>
    </row>
    <row r="531">
      <c r="B531" s="81"/>
      <c r="C531" s="81"/>
      <c r="D531" s="81"/>
    </row>
    <row r="532">
      <c r="B532" s="81"/>
      <c r="C532" s="81"/>
      <c r="D532" s="81"/>
    </row>
    <row r="533">
      <c r="B533" s="81"/>
      <c r="C533" s="81"/>
      <c r="D533" s="81"/>
    </row>
    <row r="534">
      <c r="B534" s="81"/>
      <c r="C534" s="81"/>
      <c r="D534" s="81"/>
    </row>
    <row r="535">
      <c r="B535" s="81"/>
      <c r="C535" s="81"/>
      <c r="D535" s="81"/>
    </row>
    <row r="536">
      <c r="B536" s="81"/>
      <c r="C536" s="81"/>
      <c r="D536" s="81"/>
    </row>
    <row r="537">
      <c r="B537" s="81"/>
      <c r="C537" s="81"/>
      <c r="D537" s="81"/>
    </row>
    <row r="538">
      <c r="B538" s="81"/>
      <c r="C538" s="81"/>
      <c r="D538" s="81"/>
    </row>
    <row r="539">
      <c r="B539" s="81"/>
      <c r="C539" s="81"/>
      <c r="D539" s="81"/>
    </row>
    <row r="540">
      <c r="B540" s="81"/>
      <c r="C540" s="81"/>
      <c r="D540" s="81"/>
    </row>
    <row r="541">
      <c r="B541" s="81"/>
      <c r="C541" s="81"/>
      <c r="D541" s="81"/>
    </row>
    <row r="542">
      <c r="B542" s="81"/>
      <c r="C542" s="81"/>
      <c r="D542" s="81"/>
    </row>
    <row r="543">
      <c r="B543" s="81"/>
      <c r="C543" s="81"/>
      <c r="D543" s="81"/>
    </row>
    <row r="544">
      <c r="B544" s="81"/>
      <c r="C544" s="81"/>
      <c r="D544" s="81"/>
    </row>
    <row r="545">
      <c r="B545" s="81"/>
      <c r="C545" s="81"/>
      <c r="D545" s="81"/>
    </row>
    <row r="546">
      <c r="B546" s="81"/>
      <c r="C546" s="81"/>
      <c r="D546" s="81"/>
    </row>
    <row r="547">
      <c r="B547" s="81"/>
      <c r="C547" s="81"/>
      <c r="D547" s="81"/>
    </row>
    <row r="548">
      <c r="B548" s="81"/>
      <c r="C548" s="81"/>
      <c r="D548" s="81"/>
    </row>
    <row r="549">
      <c r="B549" s="81"/>
      <c r="C549" s="81"/>
      <c r="D549" s="81"/>
    </row>
    <row r="550">
      <c r="B550" s="81"/>
      <c r="C550" s="81"/>
      <c r="D550" s="81"/>
    </row>
    <row r="551">
      <c r="B551" s="81"/>
      <c r="C551" s="81"/>
      <c r="D551" s="81"/>
    </row>
    <row r="552">
      <c r="B552" s="81"/>
      <c r="C552" s="81"/>
      <c r="D552" s="81"/>
    </row>
    <row r="553">
      <c r="B553" s="81"/>
      <c r="C553" s="81"/>
      <c r="D553" s="81"/>
    </row>
    <row r="554">
      <c r="B554" s="81"/>
      <c r="C554" s="81"/>
      <c r="D554" s="81"/>
    </row>
    <row r="555">
      <c r="B555" s="81"/>
      <c r="C555" s="81"/>
      <c r="D555" s="81"/>
    </row>
    <row r="556">
      <c r="B556" s="81"/>
      <c r="C556" s="81"/>
      <c r="D556" s="81"/>
    </row>
    <row r="557">
      <c r="B557" s="81"/>
      <c r="C557" s="81"/>
      <c r="D557" s="81"/>
    </row>
    <row r="558">
      <c r="B558" s="81"/>
      <c r="C558" s="81"/>
      <c r="D558" s="81"/>
    </row>
    <row r="559">
      <c r="B559" s="81"/>
      <c r="C559" s="81"/>
      <c r="D559" s="81"/>
    </row>
    <row r="560">
      <c r="B560" s="81"/>
      <c r="C560" s="81"/>
      <c r="D560" s="81"/>
    </row>
    <row r="561">
      <c r="B561" s="81"/>
      <c r="C561" s="81"/>
      <c r="D561" s="81"/>
    </row>
    <row r="562">
      <c r="B562" s="81"/>
      <c r="C562" s="81"/>
      <c r="D562" s="81"/>
    </row>
    <row r="563">
      <c r="B563" s="81"/>
      <c r="C563" s="81"/>
      <c r="D563" s="81"/>
    </row>
    <row r="564">
      <c r="B564" s="81"/>
      <c r="C564" s="81"/>
      <c r="D564" s="81"/>
    </row>
    <row r="565">
      <c r="B565" s="81"/>
      <c r="C565" s="81"/>
      <c r="D565" s="81"/>
    </row>
    <row r="566">
      <c r="B566" s="81"/>
      <c r="C566" s="81"/>
      <c r="D566" s="81"/>
    </row>
    <row r="567">
      <c r="B567" s="81"/>
      <c r="C567" s="81"/>
      <c r="D567" s="81"/>
    </row>
    <row r="568">
      <c r="B568" s="81"/>
      <c r="C568" s="81"/>
      <c r="D568" s="81"/>
    </row>
    <row r="569">
      <c r="B569" s="81"/>
      <c r="C569" s="81"/>
      <c r="D569" s="81"/>
    </row>
    <row r="570">
      <c r="B570" s="81"/>
      <c r="C570" s="81"/>
      <c r="D570" s="81"/>
    </row>
    <row r="571">
      <c r="B571" s="81"/>
      <c r="C571" s="81"/>
      <c r="D571" s="81"/>
    </row>
    <row r="572">
      <c r="B572" s="81"/>
      <c r="C572" s="81"/>
      <c r="D572" s="81"/>
    </row>
    <row r="573">
      <c r="B573" s="81"/>
      <c r="C573" s="81"/>
      <c r="D573" s="81"/>
    </row>
    <row r="574">
      <c r="B574" s="81"/>
      <c r="C574" s="81"/>
      <c r="D574" s="81"/>
    </row>
    <row r="575">
      <c r="B575" s="81"/>
      <c r="C575" s="81"/>
      <c r="D575" s="81"/>
    </row>
    <row r="576">
      <c r="B576" s="81"/>
      <c r="C576" s="81"/>
      <c r="D576" s="81"/>
    </row>
    <row r="577">
      <c r="B577" s="81"/>
      <c r="C577" s="81"/>
      <c r="D577" s="81"/>
    </row>
    <row r="578">
      <c r="B578" s="81"/>
      <c r="C578" s="81"/>
      <c r="D578" s="81"/>
    </row>
    <row r="579">
      <c r="B579" s="81"/>
      <c r="C579" s="81"/>
      <c r="D579" s="81"/>
    </row>
    <row r="580">
      <c r="B580" s="81"/>
      <c r="C580" s="81"/>
      <c r="D580" s="81"/>
    </row>
    <row r="581">
      <c r="B581" s="81"/>
      <c r="C581" s="81"/>
      <c r="D581" s="81"/>
    </row>
    <row r="582">
      <c r="B582" s="81"/>
      <c r="C582" s="81"/>
      <c r="D582" s="81"/>
    </row>
    <row r="583">
      <c r="B583" s="81"/>
      <c r="C583" s="81"/>
      <c r="D583" s="81"/>
    </row>
    <row r="584">
      <c r="B584" s="81"/>
      <c r="C584" s="81"/>
      <c r="D584" s="81"/>
    </row>
    <row r="585">
      <c r="B585" s="81"/>
      <c r="C585" s="81"/>
      <c r="D585" s="81"/>
    </row>
    <row r="586">
      <c r="B586" s="81"/>
      <c r="C586" s="81"/>
      <c r="D586" s="81"/>
    </row>
    <row r="587">
      <c r="B587" s="81"/>
      <c r="C587" s="81"/>
      <c r="D587" s="81"/>
    </row>
    <row r="588">
      <c r="B588" s="81"/>
      <c r="C588" s="81"/>
      <c r="D588" s="81"/>
    </row>
    <row r="589">
      <c r="B589" s="81"/>
      <c r="C589" s="81"/>
      <c r="D589" s="81"/>
    </row>
    <row r="590">
      <c r="B590" s="81"/>
      <c r="C590" s="81"/>
      <c r="D590" s="81"/>
    </row>
    <row r="591">
      <c r="B591" s="81"/>
      <c r="C591" s="81"/>
      <c r="D591" s="81"/>
    </row>
    <row r="592">
      <c r="B592" s="81"/>
      <c r="C592" s="81"/>
      <c r="D592" s="81"/>
    </row>
    <row r="593">
      <c r="B593" s="81"/>
      <c r="C593" s="81"/>
      <c r="D593" s="81"/>
    </row>
    <row r="594">
      <c r="B594" s="81"/>
      <c r="C594" s="81"/>
      <c r="D594" s="81"/>
    </row>
    <row r="595">
      <c r="B595" s="81"/>
      <c r="C595" s="81"/>
      <c r="D595" s="81"/>
    </row>
    <row r="596">
      <c r="B596" s="81"/>
      <c r="C596" s="81"/>
      <c r="D596" s="81"/>
    </row>
    <row r="597">
      <c r="B597" s="81"/>
      <c r="C597" s="81"/>
      <c r="D597" s="81"/>
    </row>
    <row r="598">
      <c r="B598" s="81"/>
      <c r="C598" s="81"/>
      <c r="D598" s="81"/>
    </row>
    <row r="599">
      <c r="B599" s="81"/>
      <c r="C599" s="81"/>
      <c r="D599" s="81"/>
    </row>
    <row r="600">
      <c r="B600" s="81"/>
      <c r="C600" s="81"/>
      <c r="D600" s="81"/>
    </row>
    <row r="601">
      <c r="B601" s="81"/>
      <c r="C601" s="81"/>
      <c r="D601" s="81"/>
    </row>
    <row r="602">
      <c r="B602" s="81"/>
      <c r="C602" s="81"/>
      <c r="D602" s="81"/>
    </row>
    <row r="603">
      <c r="B603" s="81"/>
      <c r="C603" s="81"/>
      <c r="D603" s="81"/>
    </row>
    <row r="604">
      <c r="B604" s="81"/>
      <c r="C604" s="81"/>
      <c r="D604" s="81"/>
    </row>
    <row r="605">
      <c r="B605" s="81"/>
      <c r="C605" s="81"/>
      <c r="D605" s="81"/>
    </row>
    <row r="606">
      <c r="B606" s="81"/>
      <c r="C606" s="81"/>
      <c r="D606" s="81"/>
    </row>
    <row r="607">
      <c r="B607" s="81"/>
      <c r="C607" s="81"/>
      <c r="D607" s="81"/>
    </row>
    <row r="608">
      <c r="B608" s="81"/>
      <c r="C608" s="81"/>
      <c r="D608" s="81"/>
    </row>
    <row r="609">
      <c r="B609" s="81"/>
      <c r="C609" s="81"/>
      <c r="D609" s="81"/>
    </row>
    <row r="610">
      <c r="B610" s="81"/>
      <c r="C610" s="81"/>
      <c r="D610" s="81"/>
    </row>
    <row r="611">
      <c r="B611" s="81"/>
      <c r="C611" s="81"/>
      <c r="D611" s="81"/>
    </row>
    <row r="612">
      <c r="B612" s="81"/>
      <c r="C612" s="81"/>
      <c r="D612" s="81"/>
    </row>
    <row r="613">
      <c r="B613" s="81"/>
      <c r="C613" s="81"/>
      <c r="D613" s="81"/>
    </row>
    <row r="614">
      <c r="B614" s="81"/>
      <c r="C614" s="81"/>
      <c r="D614" s="81"/>
    </row>
    <row r="615">
      <c r="B615" s="81"/>
      <c r="C615" s="81"/>
      <c r="D615" s="81"/>
    </row>
    <row r="616">
      <c r="B616" s="81"/>
      <c r="C616" s="81"/>
      <c r="D616" s="81"/>
    </row>
    <row r="617">
      <c r="B617" s="81"/>
      <c r="C617" s="81"/>
      <c r="D617" s="81"/>
    </row>
    <row r="618">
      <c r="B618" s="81"/>
      <c r="C618" s="81"/>
      <c r="D618" s="81"/>
    </row>
    <row r="619">
      <c r="B619" s="81"/>
      <c r="C619" s="81"/>
      <c r="D619" s="81"/>
    </row>
    <row r="620">
      <c r="B620" s="81"/>
      <c r="C620" s="81"/>
      <c r="D620" s="81"/>
    </row>
    <row r="621">
      <c r="B621" s="81"/>
      <c r="C621" s="81"/>
      <c r="D621" s="81"/>
    </row>
    <row r="622">
      <c r="B622" s="81"/>
      <c r="C622" s="81"/>
      <c r="D622" s="81"/>
    </row>
    <row r="623">
      <c r="B623" s="81"/>
      <c r="C623" s="81"/>
      <c r="D623" s="81"/>
    </row>
    <row r="624">
      <c r="B624" s="81"/>
      <c r="C624" s="81"/>
      <c r="D624" s="81"/>
    </row>
    <row r="625">
      <c r="B625" s="81"/>
      <c r="C625" s="81"/>
      <c r="D625" s="81"/>
    </row>
    <row r="626">
      <c r="B626" s="81"/>
      <c r="C626" s="81"/>
      <c r="D626" s="81"/>
    </row>
    <row r="627">
      <c r="B627" s="81"/>
      <c r="C627" s="81"/>
      <c r="D627" s="81"/>
    </row>
    <row r="628">
      <c r="B628" s="81"/>
      <c r="C628" s="81"/>
      <c r="D628" s="81"/>
    </row>
    <row r="629">
      <c r="B629" s="81"/>
      <c r="C629" s="81"/>
      <c r="D629" s="81"/>
    </row>
    <row r="630">
      <c r="B630" s="81"/>
      <c r="C630" s="81"/>
      <c r="D630" s="81"/>
    </row>
    <row r="631">
      <c r="B631" s="81"/>
      <c r="C631" s="81"/>
      <c r="D631" s="81"/>
    </row>
    <row r="632">
      <c r="B632" s="81"/>
      <c r="C632" s="81"/>
      <c r="D632" s="81"/>
    </row>
    <row r="633">
      <c r="B633" s="81"/>
      <c r="C633" s="81"/>
      <c r="D633" s="81"/>
    </row>
    <row r="634">
      <c r="B634" s="81"/>
      <c r="C634" s="81"/>
      <c r="D634" s="81"/>
    </row>
    <row r="635">
      <c r="B635" s="81"/>
      <c r="C635" s="81"/>
      <c r="D635" s="81"/>
    </row>
    <row r="636">
      <c r="B636" s="81"/>
      <c r="C636" s="81"/>
      <c r="D636" s="81"/>
    </row>
    <row r="637">
      <c r="B637" s="81"/>
      <c r="C637" s="81"/>
      <c r="D637" s="81"/>
    </row>
    <row r="638">
      <c r="B638" s="81"/>
      <c r="C638" s="81"/>
      <c r="D638" s="81"/>
    </row>
    <row r="639">
      <c r="B639" s="81"/>
      <c r="C639" s="81"/>
      <c r="D639" s="81"/>
    </row>
    <row r="640">
      <c r="B640" s="81"/>
      <c r="C640" s="81"/>
      <c r="D640" s="81"/>
    </row>
    <row r="641">
      <c r="B641" s="81"/>
      <c r="C641" s="81"/>
      <c r="D641" s="81"/>
    </row>
    <row r="642">
      <c r="B642" s="81"/>
      <c r="C642" s="81"/>
      <c r="D642" s="81"/>
    </row>
    <row r="643">
      <c r="B643" s="81"/>
      <c r="C643" s="81"/>
      <c r="D643" s="81"/>
    </row>
    <row r="644">
      <c r="B644" s="81"/>
      <c r="C644" s="81"/>
      <c r="D644" s="81"/>
    </row>
    <row r="645">
      <c r="B645" s="81"/>
      <c r="C645" s="81"/>
      <c r="D645" s="81"/>
    </row>
    <row r="646">
      <c r="B646" s="81"/>
      <c r="C646" s="81"/>
      <c r="D646" s="81"/>
    </row>
    <row r="647">
      <c r="B647" s="81"/>
      <c r="C647" s="81"/>
      <c r="D647" s="81"/>
    </row>
    <row r="648">
      <c r="B648" s="81"/>
      <c r="C648" s="81"/>
      <c r="D648" s="81"/>
    </row>
    <row r="649">
      <c r="B649" s="81"/>
      <c r="C649" s="81"/>
      <c r="D649" s="81"/>
    </row>
    <row r="650">
      <c r="B650" s="81"/>
      <c r="C650" s="81"/>
      <c r="D650" s="81"/>
    </row>
    <row r="651">
      <c r="B651" s="81"/>
      <c r="C651" s="81"/>
      <c r="D651" s="81"/>
    </row>
    <row r="652">
      <c r="B652" s="81"/>
      <c r="C652" s="81"/>
      <c r="D652" s="81"/>
    </row>
    <row r="653">
      <c r="B653" s="81"/>
      <c r="C653" s="81"/>
      <c r="D653" s="81"/>
    </row>
    <row r="654">
      <c r="B654" s="81"/>
      <c r="C654" s="81"/>
      <c r="D654" s="81"/>
    </row>
    <row r="655">
      <c r="B655" s="81"/>
      <c r="C655" s="81"/>
      <c r="D655" s="81"/>
    </row>
    <row r="656">
      <c r="B656" s="81"/>
      <c r="C656" s="81"/>
      <c r="D656" s="81"/>
    </row>
    <row r="657">
      <c r="B657" s="81"/>
      <c r="C657" s="81"/>
      <c r="D657" s="81"/>
    </row>
    <row r="658">
      <c r="B658" s="81"/>
      <c r="C658" s="81"/>
      <c r="D658" s="81"/>
    </row>
    <row r="659">
      <c r="B659" s="81"/>
      <c r="C659" s="81"/>
      <c r="D659" s="81"/>
    </row>
    <row r="660">
      <c r="B660" s="81"/>
      <c r="C660" s="81"/>
      <c r="D660" s="81"/>
    </row>
    <row r="661">
      <c r="B661" s="81"/>
      <c r="C661" s="81"/>
      <c r="D661" s="81"/>
    </row>
    <row r="662">
      <c r="B662" s="81"/>
      <c r="C662" s="81"/>
      <c r="D662" s="81"/>
    </row>
    <row r="663">
      <c r="B663" s="81"/>
      <c r="C663" s="81"/>
      <c r="D663" s="81"/>
    </row>
    <row r="664">
      <c r="B664" s="81"/>
      <c r="C664" s="81"/>
      <c r="D664" s="81"/>
    </row>
    <row r="665">
      <c r="B665" s="81"/>
      <c r="C665" s="81"/>
      <c r="D665" s="81"/>
    </row>
    <row r="666">
      <c r="B666" s="81"/>
      <c r="C666" s="81"/>
      <c r="D666" s="81"/>
    </row>
    <row r="667">
      <c r="B667" s="81"/>
      <c r="C667" s="81"/>
      <c r="D667" s="81"/>
    </row>
    <row r="668">
      <c r="B668" s="81"/>
      <c r="C668" s="81"/>
      <c r="D668" s="81"/>
    </row>
    <row r="669">
      <c r="B669" s="81"/>
      <c r="C669" s="81"/>
      <c r="D669" s="81"/>
    </row>
    <row r="670">
      <c r="B670" s="81"/>
      <c r="C670" s="81"/>
      <c r="D670" s="81"/>
    </row>
    <row r="671">
      <c r="B671" s="81"/>
      <c r="C671" s="81"/>
      <c r="D671" s="81"/>
    </row>
    <row r="672">
      <c r="B672" s="81"/>
      <c r="C672" s="81"/>
      <c r="D672" s="81"/>
    </row>
    <row r="673">
      <c r="B673" s="81"/>
      <c r="C673" s="81"/>
      <c r="D673" s="81"/>
    </row>
    <row r="674">
      <c r="B674" s="81"/>
      <c r="C674" s="81"/>
      <c r="D674" s="81"/>
    </row>
    <row r="675">
      <c r="B675" s="81"/>
      <c r="C675" s="81"/>
      <c r="D675" s="81"/>
    </row>
    <row r="676">
      <c r="B676" s="81"/>
      <c r="C676" s="81"/>
      <c r="D676" s="81"/>
    </row>
    <row r="677">
      <c r="B677" s="81"/>
      <c r="C677" s="81"/>
      <c r="D677" s="81"/>
    </row>
    <row r="678">
      <c r="B678" s="81"/>
      <c r="C678" s="81"/>
      <c r="D678" s="81"/>
    </row>
    <row r="679">
      <c r="B679" s="81"/>
      <c r="C679" s="81"/>
      <c r="D679" s="81"/>
    </row>
    <row r="680">
      <c r="B680" s="81"/>
      <c r="C680" s="81"/>
      <c r="D680" s="81"/>
    </row>
    <row r="681">
      <c r="B681" s="81"/>
      <c r="C681" s="81"/>
      <c r="D681" s="81"/>
    </row>
    <row r="682">
      <c r="B682" s="81"/>
      <c r="C682" s="81"/>
      <c r="D682" s="81"/>
    </row>
    <row r="683">
      <c r="B683" s="81"/>
      <c r="C683" s="81"/>
      <c r="D683" s="81"/>
    </row>
    <row r="684">
      <c r="B684" s="81"/>
      <c r="C684" s="81"/>
      <c r="D684" s="81"/>
    </row>
    <row r="685">
      <c r="B685" s="81"/>
      <c r="C685" s="81"/>
      <c r="D685" s="81"/>
    </row>
    <row r="686">
      <c r="B686" s="81"/>
      <c r="C686" s="81"/>
      <c r="D686" s="81"/>
    </row>
    <row r="687">
      <c r="B687" s="81"/>
      <c r="C687" s="81"/>
      <c r="D687" s="81"/>
    </row>
    <row r="688">
      <c r="B688" s="81"/>
      <c r="C688" s="81"/>
      <c r="D688" s="81"/>
    </row>
    <row r="689">
      <c r="B689" s="81"/>
      <c r="C689" s="81"/>
      <c r="D689" s="81"/>
    </row>
    <row r="690">
      <c r="B690" s="81"/>
      <c r="C690" s="81"/>
      <c r="D690" s="81"/>
    </row>
    <row r="691">
      <c r="B691" s="81"/>
      <c r="C691" s="81"/>
      <c r="D691" s="81"/>
    </row>
    <row r="692">
      <c r="B692" s="81"/>
      <c r="C692" s="81"/>
      <c r="D692" s="81"/>
    </row>
    <row r="693">
      <c r="B693" s="81"/>
      <c r="C693" s="81"/>
      <c r="D693" s="81"/>
    </row>
    <row r="694">
      <c r="B694" s="81"/>
      <c r="C694" s="81"/>
      <c r="D694" s="81"/>
    </row>
    <row r="695">
      <c r="B695" s="81"/>
      <c r="C695" s="81"/>
      <c r="D695" s="81"/>
    </row>
    <row r="696">
      <c r="B696" s="81"/>
      <c r="C696" s="81"/>
      <c r="D696" s="81"/>
    </row>
    <row r="697">
      <c r="B697" s="81"/>
      <c r="C697" s="81"/>
      <c r="D697" s="81"/>
    </row>
    <row r="698">
      <c r="B698" s="81"/>
      <c r="C698" s="81"/>
      <c r="D698" s="81"/>
    </row>
    <row r="699">
      <c r="B699" s="81"/>
      <c r="C699" s="81"/>
      <c r="D699" s="81"/>
    </row>
    <row r="700">
      <c r="B700" s="81"/>
      <c r="C700" s="81"/>
      <c r="D700" s="81"/>
    </row>
    <row r="701">
      <c r="B701" s="81"/>
      <c r="C701" s="81"/>
      <c r="D701" s="81"/>
    </row>
    <row r="702">
      <c r="B702" s="81"/>
      <c r="C702" s="81"/>
      <c r="D702" s="81"/>
    </row>
    <row r="703">
      <c r="B703" s="81"/>
      <c r="C703" s="81"/>
      <c r="D703" s="81"/>
    </row>
    <row r="704">
      <c r="B704" s="81"/>
      <c r="C704" s="81"/>
      <c r="D704" s="81"/>
    </row>
    <row r="705">
      <c r="B705" s="81"/>
      <c r="C705" s="81"/>
      <c r="D705" s="81"/>
    </row>
    <row r="706">
      <c r="B706" s="81"/>
      <c r="C706" s="81"/>
      <c r="D706" s="81"/>
    </row>
    <row r="707">
      <c r="B707" s="81"/>
      <c r="C707" s="81"/>
      <c r="D707" s="81"/>
    </row>
    <row r="708">
      <c r="B708" s="81"/>
      <c r="C708" s="81"/>
      <c r="D708" s="81"/>
    </row>
    <row r="709">
      <c r="B709" s="81"/>
      <c r="C709" s="81"/>
      <c r="D709" s="81"/>
    </row>
    <row r="710">
      <c r="B710" s="81"/>
      <c r="C710" s="81"/>
      <c r="D710" s="81"/>
    </row>
    <row r="711">
      <c r="B711" s="81"/>
      <c r="C711" s="81"/>
      <c r="D711" s="81"/>
    </row>
    <row r="712">
      <c r="B712" s="81"/>
      <c r="C712" s="81"/>
      <c r="D712" s="81"/>
    </row>
    <row r="713">
      <c r="B713" s="81"/>
      <c r="C713" s="81"/>
      <c r="D713" s="81"/>
    </row>
    <row r="714">
      <c r="B714" s="81"/>
      <c r="C714" s="81"/>
      <c r="D714" s="81"/>
    </row>
    <row r="715">
      <c r="B715" s="81"/>
      <c r="C715" s="81"/>
      <c r="D715" s="81"/>
    </row>
    <row r="716">
      <c r="B716" s="81"/>
      <c r="C716" s="81"/>
      <c r="D716" s="81"/>
    </row>
    <row r="717">
      <c r="B717" s="81"/>
      <c r="C717" s="81"/>
      <c r="D717" s="81"/>
    </row>
    <row r="718">
      <c r="B718" s="81"/>
      <c r="C718" s="81"/>
      <c r="D718" s="81"/>
    </row>
    <row r="719">
      <c r="B719" s="81"/>
      <c r="C719" s="81"/>
      <c r="D719" s="81"/>
    </row>
    <row r="720">
      <c r="B720" s="81"/>
      <c r="C720" s="81"/>
      <c r="D720" s="81"/>
    </row>
    <row r="721">
      <c r="B721" s="81"/>
      <c r="C721" s="81"/>
      <c r="D721" s="81"/>
    </row>
    <row r="722">
      <c r="B722" s="81"/>
      <c r="C722" s="81"/>
      <c r="D722" s="81"/>
    </row>
    <row r="723">
      <c r="B723" s="81"/>
      <c r="C723" s="81"/>
      <c r="D723" s="81"/>
    </row>
    <row r="724">
      <c r="B724" s="81"/>
      <c r="C724" s="81"/>
      <c r="D724" s="81"/>
    </row>
    <row r="725">
      <c r="B725" s="81"/>
      <c r="C725" s="81"/>
      <c r="D725" s="81"/>
    </row>
    <row r="726">
      <c r="B726" s="81"/>
      <c r="C726" s="81"/>
      <c r="D726" s="81"/>
    </row>
    <row r="727">
      <c r="B727" s="81"/>
      <c r="C727" s="81"/>
      <c r="D727" s="81"/>
    </row>
    <row r="728">
      <c r="B728" s="81"/>
      <c r="C728" s="81"/>
      <c r="D728" s="81"/>
    </row>
    <row r="729">
      <c r="B729" s="81"/>
      <c r="C729" s="81"/>
      <c r="D729" s="81"/>
    </row>
    <row r="730">
      <c r="B730" s="81"/>
      <c r="C730" s="81"/>
      <c r="D730" s="81"/>
    </row>
    <row r="731">
      <c r="B731" s="81"/>
      <c r="C731" s="81"/>
      <c r="D731" s="81"/>
    </row>
    <row r="732">
      <c r="B732" s="81"/>
      <c r="C732" s="81"/>
      <c r="D732" s="81"/>
    </row>
    <row r="733">
      <c r="B733" s="81"/>
      <c r="C733" s="81"/>
      <c r="D733" s="81"/>
    </row>
    <row r="734">
      <c r="B734" s="81"/>
      <c r="C734" s="81"/>
      <c r="D734" s="81"/>
    </row>
    <row r="735">
      <c r="B735" s="81"/>
      <c r="C735" s="81"/>
      <c r="D735" s="81"/>
    </row>
    <row r="736">
      <c r="B736" s="81"/>
      <c r="C736" s="81"/>
      <c r="D736" s="81"/>
    </row>
    <row r="737">
      <c r="B737" s="81"/>
      <c r="C737" s="81"/>
      <c r="D737" s="81"/>
    </row>
    <row r="738">
      <c r="B738" s="81"/>
      <c r="C738" s="81"/>
      <c r="D738" s="81"/>
    </row>
    <row r="739">
      <c r="B739" s="81"/>
      <c r="C739" s="81"/>
      <c r="D739" s="81"/>
    </row>
    <row r="740">
      <c r="B740" s="81"/>
      <c r="C740" s="81"/>
      <c r="D740" s="81"/>
    </row>
    <row r="741">
      <c r="B741" s="81"/>
      <c r="C741" s="81"/>
      <c r="D741" s="81"/>
    </row>
    <row r="742">
      <c r="B742" s="81"/>
      <c r="C742" s="81"/>
      <c r="D742" s="81"/>
    </row>
    <row r="743">
      <c r="B743" s="81"/>
      <c r="C743" s="81"/>
      <c r="D743" s="81"/>
    </row>
    <row r="744">
      <c r="B744" s="81"/>
      <c r="C744" s="81"/>
      <c r="D744" s="81"/>
    </row>
    <row r="745">
      <c r="B745" s="81"/>
      <c r="C745" s="81"/>
      <c r="D745" s="81"/>
    </row>
    <row r="746">
      <c r="B746" s="81"/>
      <c r="C746" s="81"/>
      <c r="D746" s="81"/>
    </row>
    <row r="747">
      <c r="B747" s="81"/>
      <c r="C747" s="81"/>
      <c r="D747" s="81"/>
    </row>
    <row r="748">
      <c r="B748" s="81"/>
      <c r="C748" s="81"/>
      <c r="D748" s="81"/>
    </row>
    <row r="749">
      <c r="B749" s="81"/>
      <c r="C749" s="81"/>
      <c r="D749" s="81"/>
    </row>
    <row r="750">
      <c r="B750" s="81"/>
      <c r="C750" s="81"/>
      <c r="D750" s="81"/>
    </row>
    <row r="751">
      <c r="B751" s="81"/>
      <c r="C751" s="81"/>
      <c r="D751" s="81"/>
    </row>
    <row r="752">
      <c r="B752" s="81"/>
      <c r="C752" s="81"/>
      <c r="D752" s="81"/>
    </row>
    <row r="753">
      <c r="B753" s="81"/>
      <c r="C753" s="81"/>
      <c r="D753" s="81"/>
    </row>
    <row r="754">
      <c r="B754" s="81"/>
      <c r="C754" s="81"/>
      <c r="D754" s="81"/>
    </row>
    <row r="755">
      <c r="B755" s="81"/>
      <c r="C755" s="81"/>
      <c r="D755" s="81"/>
    </row>
    <row r="756">
      <c r="B756" s="81"/>
      <c r="C756" s="81"/>
      <c r="D756" s="81"/>
    </row>
    <row r="757">
      <c r="B757" s="81"/>
      <c r="C757" s="81"/>
      <c r="D757" s="81"/>
    </row>
    <row r="758">
      <c r="B758" s="81"/>
      <c r="C758" s="81"/>
      <c r="D758" s="81"/>
    </row>
    <row r="759">
      <c r="B759" s="81"/>
      <c r="C759" s="81"/>
      <c r="D759" s="81"/>
    </row>
    <row r="760">
      <c r="B760" s="81"/>
      <c r="C760" s="81"/>
      <c r="D760" s="81"/>
    </row>
    <row r="761">
      <c r="B761" s="81"/>
      <c r="C761" s="81"/>
      <c r="D761" s="81"/>
    </row>
    <row r="762">
      <c r="B762" s="81"/>
      <c r="C762" s="81"/>
      <c r="D762" s="81"/>
    </row>
    <row r="763">
      <c r="B763" s="81"/>
      <c r="C763" s="81"/>
      <c r="D763" s="81"/>
    </row>
    <row r="764">
      <c r="B764" s="81"/>
      <c r="C764" s="81"/>
      <c r="D764" s="81"/>
    </row>
    <row r="765">
      <c r="B765" s="81"/>
      <c r="C765" s="81"/>
      <c r="D765" s="81"/>
    </row>
    <row r="766">
      <c r="B766" s="81"/>
      <c r="C766" s="81"/>
      <c r="D766" s="81"/>
    </row>
    <row r="767">
      <c r="B767" s="81"/>
      <c r="C767" s="81"/>
      <c r="D767" s="81"/>
    </row>
    <row r="768">
      <c r="B768" s="81"/>
      <c r="C768" s="81"/>
      <c r="D768" s="81"/>
    </row>
    <row r="769">
      <c r="B769" s="81"/>
      <c r="C769" s="81"/>
      <c r="D769" s="81"/>
    </row>
    <row r="770">
      <c r="B770" s="81"/>
      <c r="C770" s="81"/>
      <c r="D770" s="81"/>
    </row>
    <row r="771">
      <c r="B771" s="81"/>
      <c r="C771" s="81"/>
      <c r="D771" s="81"/>
    </row>
    <row r="772">
      <c r="B772" s="81"/>
      <c r="C772" s="81"/>
      <c r="D772" s="81"/>
    </row>
    <row r="773">
      <c r="B773" s="81"/>
      <c r="C773" s="81"/>
      <c r="D773" s="81"/>
    </row>
    <row r="774">
      <c r="B774" s="81"/>
      <c r="C774" s="81"/>
      <c r="D774" s="81"/>
    </row>
    <row r="775">
      <c r="B775" s="81"/>
      <c r="C775" s="81"/>
      <c r="D775" s="81"/>
    </row>
    <row r="776">
      <c r="B776" s="81"/>
      <c r="C776" s="81"/>
      <c r="D776" s="81"/>
    </row>
    <row r="777">
      <c r="B777" s="81"/>
      <c r="C777" s="81"/>
      <c r="D777" s="81"/>
    </row>
    <row r="778">
      <c r="B778" s="81"/>
      <c r="C778" s="81"/>
      <c r="D778" s="81"/>
    </row>
    <row r="779">
      <c r="B779" s="81"/>
      <c r="C779" s="81"/>
      <c r="D779" s="81"/>
    </row>
    <row r="780">
      <c r="B780" s="81"/>
      <c r="C780" s="81"/>
      <c r="D780" s="81"/>
    </row>
    <row r="781">
      <c r="B781" s="81"/>
      <c r="C781" s="81"/>
      <c r="D781" s="81"/>
    </row>
    <row r="782">
      <c r="B782" s="81"/>
      <c r="C782" s="81"/>
      <c r="D782" s="81"/>
    </row>
    <row r="783">
      <c r="B783" s="81"/>
      <c r="C783" s="81"/>
      <c r="D783" s="81"/>
    </row>
    <row r="784">
      <c r="B784" s="81"/>
      <c r="C784" s="81"/>
      <c r="D784" s="81"/>
    </row>
    <row r="785">
      <c r="B785" s="81"/>
      <c r="C785" s="81"/>
      <c r="D785" s="81"/>
    </row>
    <row r="786">
      <c r="B786" s="81"/>
      <c r="C786" s="81"/>
      <c r="D786" s="81"/>
    </row>
    <row r="787">
      <c r="B787" s="81"/>
      <c r="C787" s="81"/>
      <c r="D787" s="81"/>
    </row>
    <row r="788">
      <c r="B788" s="81"/>
      <c r="C788" s="81"/>
      <c r="D788" s="81"/>
    </row>
    <row r="789">
      <c r="B789" s="81"/>
      <c r="C789" s="81"/>
      <c r="D789" s="81"/>
    </row>
    <row r="790">
      <c r="B790" s="81"/>
      <c r="C790" s="81"/>
      <c r="D790" s="81"/>
    </row>
    <row r="791">
      <c r="B791" s="81"/>
      <c r="C791" s="81"/>
      <c r="D791" s="81"/>
    </row>
    <row r="792">
      <c r="B792" s="81"/>
      <c r="C792" s="81"/>
      <c r="D792" s="81"/>
    </row>
    <row r="793">
      <c r="B793" s="81"/>
      <c r="C793" s="81"/>
      <c r="D793" s="81"/>
    </row>
    <row r="794">
      <c r="B794" s="81"/>
      <c r="C794" s="81"/>
      <c r="D794" s="81"/>
    </row>
    <row r="795">
      <c r="B795" s="81"/>
      <c r="C795" s="81"/>
      <c r="D795" s="81"/>
    </row>
    <row r="796">
      <c r="B796" s="81"/>
      <c r="C796" s="81"/>
      <c r="D796" s="81"/>
    </row>
    <row r="797">
      <c r="B797" s="81"/>
      <c r="C797" s="81"/>
      <c r="D797" s="81"/>
    </row>
    <row r="798">
      <c r="B798" s="81"/>
      <c r="C798" s="81"/>
      <c r="D798" s="81"/>
    </row>
    <row r="799">
      <c r="B799" s="81"/>
      <c r="C799" s="81"/>
      <c r="D799" s="81"/>
    </row>
    <row r="800">
      <c r="B800" s="81"/>
      <c r="C800" s="81"/>
      <c r="D800" s="81"/>
    </row>
    <row r="801">
      <c r="B801" s="81"/>
      <c r="C801" s="81"/>
      <c r="D801" s="81"/>
    </row>
    <row r="802">
      <c r="B802" s="81"/>
      <c r="C802" s="81"/>
      <c r="D802" s="81"/>
    </row>
    <row r="803">
      <c r="B803" s="81"/>
      <c r="C803" s="81"/>
      <c r="D803" s="81"/>
    </row>
    <row r="804">
      <c r="B804" s="81"/>
      <c r="C804" s="81"/>
      <c r="D804" s="81"/>
    </row>
    <row r="805">
      <c r="B805" s="81"/>
      <c r="C805" s="81"/>
      <c r="D805" s="81"/>
    </row>
    <row r="806">
      <c r="B806" s="81"/>
      <c r="C806" s="81"/>
      <c r="D806" s="81"/>
    </row>
    <row r="807">
      <c r="B807" s="81"/>
      <c r="C807" s="81"/>
      <c r="D807" s="81"/>
    </row>
    <row r="808">
      <c r="B808" s="81"/>
      <c r="C808" s="81"/>
      <c r="D808" s="81"/>
    </row>
    <row r="809">
      <c r="B809" s="81"/>
      <c r="C809" s="81"/>
      <c r="D809" s="81"/>
    </row>
    <row r="810">
      <c r="B810" s="81"/>
      <c r="C810" s="81"/>
      <c r="D810" s="81"/>
    </row>
    <row r="811">
      <c r="B811" s="81"/>
      <c r="C811" s="81"/>
      <c r="D811" s="81"/>
    </row>
    <row r="812">
      <c r="B812" s="81"/>
      <c r="C812" s="81"/>
      <c r="D812" s="81"/>
    </row>
    <row r="813">
      <c r="B813" s="81"/>
      <c r="C813" s="81"/>
      <c r="D813" s="81"/>
    </row>
    <row r="814">
      <c r="B814" s="81"/>
      <c r="C814" s="81"/>
      <c r="D814" s="81"/>
    </row>
    <row r="815">
      <c r="B815" s="81"/>
      <c r="C815" s="81"/>
      <c r="D815" s="81"/>
    </row>
    <row r="816">
      <c r="B816" s="81"/>
      <c r="C816" s="81"/>
      <c r="D816" s="81"/>
    </row>
    <row r="817">
      <c r="B817" s="81"/>
      <c r="C817" s="81"/>
      <c r="D817" s="81"/>
    </row>
    <row r="818">
      <c r="B818" s="81"/>
      <c r="C818" s="81"/>
      <c r="D818" s="81"/>
    </row>
    <row r="819">
      <c r="B819" s="81"/>
      <c r="C819" s="81"/>
      <c r="D819" s="81"/>
    </row>
    <row r="820">
      <c r="B820" s="81"/>
      <c r="C820" s="81"/>
      <c r="D820" s="81"/>
    </row>
    <row r="821">
      <c r="B821" s="81"/>
      <c r="C821" s="81"/>
      <c r="D821" s="81"/>
    </row>
    <row r="822">
      <c r="B822" s="81"/>
      <c r="C822" s="81"/>
      <c r="D822" s="81"/>
    </row>
    <row r="823">
      <c r="B823" s="81"/>
      <c r="C823" s="81"/>
      <c r="D823" s="81"/>
    </row>
    <row r="824">
      <c r="B824" s="81"/>
      <c r="C824" s="81"/>
      <c r="D824" s="81"/>
    </row>
    <row r="825">
      <c r="B825" s="81"/>
      <c r="C825" s="81"/>
      <c r="D825" s="81"/>
    </row>
    <row r="826">
      <c r="B826" s="81"/>
      <c r="C826" s="81"/>
      <c r="D826" s="81"/>
    </row>
    <row r="827">
      <c r="B827" s="81"/>
      <c r="C827" s="81"/>
      <c r="D827" s="81"/>
    </row>
    <row r="828">
      <c r="B828" s="81"/>
      <c r="C828" s="81"/>
      <c r="D828" s="81"/>
    </row>
    <row r="829">
      <c r="B829" s="81"/>
      <c r="C829" s="81"/>
      <c r="D829" s="81"/>
    </row>
    <row r="830">
      <c r="B830" s="81"/>
      <c r="C830" s="81"/>
      <c r="D830" s="81"/>
    </row>
    <row r="831">
      <c r="B831" s="81"/>
      <c r="C831" s="81"/>
      <c r="D831" s="81"/>
    </row>
    <row r="832">
      <c r="B832" s="81"/>
      <c r="C832" s="81"/>
      <c r="D832" s="81"/>
    </row>
    <row r="833">
      <c r="B833" s="81"/>
      <c r="C833" s="81"/>
      <c r="D833" s="81"/>
    </row>
    <row r="834">
      <c r="B834" s="81"/>
      <c r="C834" s="81"/>
      <c r="D834" s="81"/>
    </row>
    <row r="835">
      <c r="B835" s="81"/>
      <c r="C835" s="81"/>
      <c r="D835" s="81"/>
    </row>
    <row r="836">
      <c r="B836" s="81"/>
      <c r="C836" s="81"/>
      <c r="D836" s="81"/>
    </row>
    <row r="837">
      <c r="B837" s="81"/>
      <c r="C837" s="81"/>
      <c r="D837" s="81"/>
    </row>
    <row r="838">
      <c r="B838" s="81"/>
      <c r="C838" s="81"/>
      <c r="D838" s="81"/>
    </row>
    <row r="839">
      <c r="B839" s="81"/>
      <c r="C839" s="81"/>
      <c r="D839" s="81"/>
    </row>
    <row r="840">
      <c r="B840" s="81"/>
      <c r="C840" s="81"/>
      <c r="D840" s="81"/>
    </row>
    <row r="841">
      <c r="B841" s="81"/>
      <c r="C841" s="81"/>
      <c r="D841" s="81"/>
    </row>
    <row r="842">
      <c r="B842" s="81"/>
      <c r="C842" s="81"/>
      <c r="D842" s="81"/>
    </row>
    <row r="843">
      <c r="B843" s="81"/>
      <c r="C843" s="81"/>
      <c r="D843" s="81"/>
    </row>
    <row r="844">
      <c r="B844" s="81"/>
      <c r="C844" s="81"/>
      <c r="D844" s="81"/>
    </row>
    <row r="845">
      <c r="B845" s="81"/>
      <c r="C845" s="81"/>
      <c r="D845" s="81"/>
    </row>
    <row r="846">
      <c r="B846" s="81"/>
      <c r="C846" s="81"/>
      <c r="D846" s="81"/>
    </row>
    <row r="847">
      <c r="B847" s="81"/>
      <c r="C847" s="81"/>
      <c r="D847" s="81"/>
    </row>
    <row r="848">
      <c r="B848" s="81"/>
      <c r="C848" s="81"/>
      <c r="D848" s="81"/>
    </row>
    <row r="849">
      <c r="B849" s="81"/>
      <c r="C849" s="81"/>
      <c r="D849" s="81"/>
    </row>
    <row r="850">
      <c r="B850" s="81"/>
      <c r="C850" s="81"/>
      <c r="D850" s="81"/>
    </row>
    <row r="851">
      <c r="B851" s="81"/>
      <c r="C851" s="81"/>
      <c r="D851" s="81"/>
    </row>
    <row r="852">
      <c r="B852" s="81"/>
      <c r="C852" s="81"/>
      <c r="D852" s="81"/>
    </row>
    <row r="853">
      <c r="B853" s="81"/>
      <c r="C853" s="81"/>
      <c r="D853" s="81"/>
    </row>
    <row r="854">
      <c r="B854" s="81"/>
      <c r="C854" s="81"/>
      <c r="D854" s="81"/>
    </row>
    <row r="855">
      <c r="B855" s="81"/>
      <c r="C855" s="81"/>
      <c r="D855" s="81"/>
    </row>
    <row r="856">
      <c r="B856" s="81"/>
      <c r="C856" s="81"/>
      <c r="D856" s="81"/>
    </row>
    <row r="857">
      <c r="B857" s="81"/>
      <c r="C857" s="81"/>
      <c r="D857" s="81"/>
    </row>
    <row r="858">
      <c r="B858" s="81"/>
      <c r="C858" s="81"/>
      <c r="D858" s="81"/>
    </row>
    <row r="859">
      <c r="B859" s="81"/>
      <c r="C859" s="81"/>
      <c r="D859" s="81"/>
    </row>
    <row r="860">
      <c r="B860" s="81"/>
      <c r="C860" s="81"/>
      <c r="D860" s="81"/>
    </row>
    <row r="861">
      <c r="B861" s="81"/>
      <c r="C861" s="81"/>
      <c r="D861" s="81"/>
    </row>
    <row r="862">
      <c r="B862" s="81"/>
      <c r="C862" s="81"/>
      <c r="D862" s="81"/>
    </row>
    <row r="863">
      <c r="B863" s="81"/>
      <c r="C863" s="81"/>
      <c r="D863" s="81"/>
    </row>
    <row r="864">
      <c r="B864" s="81"/>
      <c r="C864" s="81"/>
      <c r="D864" s="81"/>
    </row>
    <row r="865">
      <c r="B865" s="81"/>
      <c r="C865" s="81"/>
      <c r="D865" s="81"/>
    </row>
    <row r="866">
      <c r="B866" s="81"/>
      <c r="C866" s="81"/>
      <c r="D866" s="81"/>
    </row>
    <row r="867">
      <c r="B867" s="81"/>
      <c r="C867" s="81"/>
      <c r="D867" s="81"/>
    </row>
    <row r="868">
      <c r="B868" s="81"/>
      <c r="C868" s="81"/>
      <c r="D868" s="81"/>
    </row>
    <row r="869">
      <c r="B869" s="81"/>
      <c r="C869" s="81"/>
      <c r="D869" s="81"/>
    </row>
    <row r="870">
      <c r="B870" s="81"/>
      <c r="C870" s="81"/>
      <c r="D870" s="81"/>
    </row>
    <row r="871">
      <c r="B871" s="81"/>
      <c r="C871" s="81"/>
      <c r="D871" s="81"/>
    </row>
    <row r="872">
      <c r="B872" s="81"/>
      <c r="C872" s="81"/>
      <c r="D872" s="81"/>
    </row>
    <row r="873">
      <c r="B873" s="81"/>
      <c r="C873" s="81"/>
      <c r="D873" s="81"/>
    </row>
    <row r="874">
      <c r="B874" s="81"/>
      <c r="C874" s="81"/>
      <c r="D874" s="81"/>
    </row>
    <row r="875">
      <c r="B875" s="81"/>
      <c r="C875" s="81"/>
      <c r="D875" s="81"/>
    </row>
    <row r="876">
      <c r="B876" s="81"/>
      <c r="C876" s="81"/>
      <c r="D876" s="81"/>
    </row>
    <row r="877">
      <c r="B877" s="81"/>
      <c r="C877" s="81"/>
      <c r="D877" s="81"/>
    </row>
    <row r="878">
      <c r="B878" s="81"/>
      <c r="C878" s="81"/>
      <c r="D878" s="81"/>
    </row>
    <row r="879">
      <c r="B879" s="81"/>
      <c r="C879" s="81"/>
      <c r="D879" s="81"/>
    </row>
    <row r="880">
      <c r="B880" s="81"/>
      <c r="C880" s="81"/>
      <c r="D880" s="81"/>
    </row>
    <row r="881">
      <c r="B881" s="81"/>
      <c r="C881" s="81"/>
      <c r="D881" s="81"/>
    </row>
    <row r="882">
      <c r="B882" s="81"/>
      <c r="C882" s="81"/>
      <c r="D882" s="81"/>
    </row>
    <row r="883">
      <c r="B883" s="81"/>
      <c r="C883" s="81"/>
      <c r="D883" s="81"/>
    </row>
    <row r="884">
      <c r="B884" s="81"/>
      <c r="C884" s="81"/>
      <c r="D884" s="81"/>
    </row>
    <row r="885">
      <c r="B885" s="81"/>
      <c r="C885" s="81"/>
      <c r="D885" s="81"/>
    </row>
    <row r="886">
      <c r="B886" s="81"/>
      <c r="C886" s="81"/>
      <c r="D886" s="81"/>
    </row>
    <row r="887">
      <c r="B887" s="81"/>
      <c r="C887" s="81"/>
      <c r="D887" s="81"/>
    </row>
    <row r="888">
      <c r="B888" s="81"/>
      <c r="C888" s="81"/>
      <c r="D888" s="81"/>
    </row>
    <row r="889">
      <c r="B889" s="81"/>
      <c r="C889" s="81"/>
      <c r="D889" s="81"/>
    </row>
    <row r="890">
      <c r="B890" s="81"/>
      <c r="C890" s="81"/>
      <c r="D890" s="81"/>
    </row>
    <row r="891">
      <c r="B891" s="81"/>
      <c r="C891" s="81"/>
      <c r="D891" s="81"/>
    </row>
    <row r="892">
      <c r="B892" s="81"/>
      <c r="C892" s="81"/>
      <c r="D892" s="81"/>
    </row>
    <row r="893">
      <c r="B893" s="81"/>
      <c r="C893" s="81"/>
      <c r="D893" s="81"/>
    </row>
    <row r="894">
      <c r="B894" s="81"/>
      <c r="C894" s="81"/>
      <c r="D894" s="81"/>
    </row>
    <row r="895">
      <c r="B895" s="81"/>
      <c r="C895" s="81"/>
      <c r="D895" s="81"/>
    </row>
    <row r="896">
      <c r="B896" s="81"/>
      <c r="C896" s="81"/>
      <c r="D896" s="81"/>
    </row>
    <row r="897">
      <c r="B897" s="81"/>
      <c r="C897" s="81"/>
      <c r="D897" s="81"/>
    </row>
    <row r="898">
      <c r="B898" s="81"/>
      <c r="C898" s="81"/>
      <c r="D898" s="81"/>
    </row>
    <row r="899">
      <c r="B899" s="81"/>
      <c r="C899" s="81"/>
      <c r="D899" s="81"/>
    </row>
    <row r="900">
      <c r="B900" s="81"/>
      <c r="C900" s="81"/>
      <c r="D900" s="81"/>
    </row>
    <row r="901">
      <c r="B901" s="81"/>
      <c r="C901" s="81"/>
      <c r="D901" s="81"/>
    </row>
    <row r="902">
      <c r="B902" s="81"/>
      <c r="C902" s="81"/>
      <c r="D902" s="81"/>
    </row>
    <row r="903">
      <c r="B903" s="81"/>
      <c r="C903" s="81"/>
      <c r="D903" s="81"/>
    </row>
    <row r="904">
      <c r="B904" s="81"/>
      <c r="C904" s="81"/>
      <c r="D904" s="81"/>
    </row>
    <row r="905">
      <c r="B905" s="81"/>
      <c r="C905" s="81"/>
      <c r="D905" s="81"/>
    </row>
    <row r="906">
      <c r="B906" s="81"/>
      <c r="C906" s="81"/>
      <c r="D906" s="81"/>
    </row>
    <row r="907">
      <c r="B907" s="81"/>
      <c r="C907" s="81"/>
      <c r="D907" s="81"/>
    </row>
    <row r="908">
      <c r="B908" s="81"/>
      <c r="C908" s="81"/>
      <c r="D908" s="81"/>
    </row>
    <row r="909">
      <c r="B909" s="81"/>
      <c r="C909" s="81"/>
      <c r="D909" s="81"/>
    </row>
    <row r="910">
      <c r="B910" s="81"/>
      <c r="C910" s="81"/>
      <c r="D910" s="81"/>
    </row>
    <row r="911">
      <c r="B911" s="81"/>
      <c r="C911" s="81"/>
      <c r="D911" s="81"/>
    </row>
    <row r="912">
      <c r="B912" s="81"/>
      <c r="C912" s="81"/>
      <c r="D912" s="81"/>
    </row>
    <row r="913">
      <c r="B913" s="81"/>
      <c r="C913" s="81"/>
      <c r="D913" s="81"/>
    </row>
    <row r="914">
      <c r="B914" s="81"/>
      <c r="C914" s="81"/>
      <c r="D914" s="81"/>
    </row>
    <row r="915">
      <c r="B915" s="81"/>
      <c r="C915" s="81"/>
      <c r="D915" s="81"/>
    </row>
    <row r="916">
      <c r="B916" s="81"/>
      <c r="C916" s="81"/>
      <c r="D916" s="81"/>
    </row>
    <row r="917">
      <c r="B917" s="81"/>
      <c r="C917" s="81"/>
      <c r="D917" s="81"/>
    </row>
    <row r="918">
      <c r="B918" s="81"/>
      <c r="C918" s="81"/>
      <c r="D918" s="81"/>
    </row>
    <row r="919">
      <c r="B919" s="81"/>
      <c r="C919" s="81"/>
      <c r="D919" s="81"/>
    </row>
    <row r="920">
      <c r="B920" s="81"/>
      <c r="C920" s="81"/>
      <c r="D920" s="81"/>
    </row>
    <row r="921">
      <c r="B921" s="81"/>
      <c r="C921" s="81"/>
      <c r="D921" s="81"/>
    </row>
    <row r="922">
      <c r="B922" s="81"/>
      <c r="C922" s="81"/>
      <c r="D922" s="81"/>
    </row>
    <row r="923">
      <c r="B923" s="81"/>
      <c r="C923" s="81"/>
      <c r="D923" s="81"/>
    </row>
    <row r="924">
      <c r="B924" s="81"/>
      <c r="C924" s="81"/>
      <c r="D924" s="81"/>
    </row>
    <row r="925">
      <c r="B925" s="81"/>
      <c r="C925" s="81"/>
      <c r="D925" s="81"/>
    </row>
    <row r="926">
      <c r="B926" s="81"/>
      <c r="C926" s="81"/>
      <c r="D926" s="81"/>
    </row>
    <row r="927">
      <c r="B927" s="81"/>
      <c r="C927" s="81"/>
      <c r="D927" s="81"/>
    </row>
    <row r="928">
      <c r="B928" s="81"/>
      <c r="C928" s="81"/>
      <c r="D928" s="81"/>
    </row>
    <row r="929">
      <c r="B929" s="81"/>
      <c r="C929" s="81"/>
      <c r="D929" s="81"/>
    </row>
    <row r="930">
      <c r="B930" s="81"/>
      <c r="C930" s="81"/>
      <c r="D930" s="81"/>
    </row>
    <row r="931">
      <c r="B931" s="81"/>
      <c r="C931" s="81"/>
      <c r="D931" s="81"/>
    </row>
    <row r="932">
      <c r="B932" s="81"/>
      <c r="C932" s="81"/>
      <c r="D932" s="81"/>
    </row>
    <row r="933">
      <c r="B933" s="81"/>
      <c r="C933" s="81"/>
      <c r="D933" s="81"/>
    </row>
    <row r="934">
      <c r="B934" s="81"/>
      <c r="C934" s="81"/>
      <c r="D934" s="81"/>
    </row>
    <row r="935">
      <c r="B935" s="81"/>
      <c r="C935" s="81"/>
      <c r="D935" s="81"/>
    </row>
    <row r="936">
      <c r="B936" s="81"/>
      <c r="C936" s="81"/>
      <c r="D936" s="81"/>
    </row>
    <row r="937">
      <c r="B937" s="81"/>
      <c r="C937" s="81"/>
      <c r="D937" s="81"/>
    </row>
    <row r="938">
      <c r="B938" s="81"/>
      <c r="C938" s="81"/>
      <c r="D938" s="81"/>
    </row>
    <row r="939">
      <c r="B939" s="81"/>
      <c r="C939" s="81"/>
      <c r="D939" s="81"/>
    </row>
    <row r="940">
      <c r="B940" s="81"/>
      <c r="C940" s="81"/>
      <c r="D940" s="81"/>
    </row>
    <row r="941">
      <c r="B941" s="81"/>
      <c r="C941" s="81"/>
      <c r="D941" s="81"/>
    </row>
    <row r="942">
      <c r="B942" s="81"/>
      <c r="C942" s="81"/>
      <c r="D942" s="81"/>
    </row>
    <row r="943">
      <c r="B943" s="81"/>
      <c r="C943" s="81"/>
      <c r="D943" s="81"/>
    </row>
    <row r="944">
      <c r="B944" s="81"/>
      <c r="C944" s="81"/>
      <c r="D944" s="81"/>
    </row>
    <row r="945">
      <c r="B945" s="81"/>
      <c r="C945" s="81"/>
      <c r="D945" s="81"/>
    </row>
    <row r="946">
      <c r="B946" s="81"/>
      <c r="C946" s="81"/>
      <c r="D946" s="81"/>
    </row>
    <row r="947">
      <c r="B947" s="81"/>
      <c r="C947" s="81"/>
      <c r="D947" s="81"/>
    </row>
    <row r="948">
      <c r="B948" s="81"/>
      <c r="C948" s="81"/>
      <c r="D948" s="81"/>
    </row>
    <row r="949">
      <c r="B949" s="81"/>
      <c r="C949" s="81"/>
      <c r="D949" s="81"/>
    </row>
    <row r="950">
      <c r="B950" s="81"/>
      <c r="C950" s="81"/>
      <c r="D950" s="81"/>
    </row>
    <row r="951">
      <c r="B951" s="81"/>
      <c r="C951" s="81"/>
      <c r="D951" s="81"/>
    </row>
    <row r="952">
      <c r="B952" s="81"/>
      <c r="C952" s="81"/>
      <c r="D952" s="81"/>
    </row>
    <row r="953">
      <c r="B953" s="81"/>
      <c r="C953" s="81"/>
      <c r="D953" s="81"/>
    </row>
    <row r="954">
      <c r="B954" s="81"/>
      <c r="C954" s="81"/>
      <c r="D954" s="81"/>
    </row>
    <row r="955">
      <c r="B955" s="81"/>
      <c r="C955" s="81"/>
      <c r="D955" s="81"/>
    </row>
    <row r="956">
      <c r="B956" s="81"/>
      <c r="C956" s="81"/>
      <c r="D956" s="81"/>
    </row>
    <row r="957">
      <c r="B957" s="81"/>
      <c r="C957" s="81"/>
      <c r="D957" s="81"/>
    </row>
    <row r="958">
      <c r="B958" s="81"/>
      <c r="C958" s="81"/>
      <c r="D958" s="81"/>
    </row>
    <row r="959">
      <c r="B959" s="81"/>
      <c r="C959" s="81"/>
      <c r="D959" s="81"/>
    </row>
    <row r="960">
      <c r="B960" s="81"/>
      <c r="C960" s="81"/>
      <c r="D960" s="81"/>
    </row>
    <row r="961">
      <c r="B961" s="81"/>
      <c r="C961" s="81"/>
      <c r="D961" s="81"/>
    </row>
    <row r="962">
      <c r="B962" s="81"/>
      <c r="C962" s="81"/>
      <c r="D962" s="81"/>
    </row>
    <row r="963">
      <c r="B963" s="81"/>
      <c r="C963" s="81"/>
      <c r="D963" s="81"/>
    </row>
    <row r="964">
      <c r="B964" s="81"/>
      <c r="C964" s="81"/>
      <c r="D964" s="81"/>
    </row>
    <row r="965">
      <c r="B965" s="81"/>
      <c r="C965" s="81"/>
      <c r="D965" s="81"/>
    </row>
    <row r="966">
      <c r="B966" s="81"/>
      <c r="C966" s="81"/>
      <c r="D966" s="81"/>
    </row>
    <row r="967">
      <c r="B967" s="81"/>
      <c r="C967" s="81"/>
      <c r="D967" s="81"/>
    </row>
    <row r="968">
      <c r="B968" s="81"/>
      <c r="C968" s="81"/>
      <c r="D968" s="81"/>
    </row>
    <row r="969">
      <c r="B969" s="81"/>
      <c r="C969" s="81"/>
      <c r="D969" s="81"/>
    </row>
    <row r="970">
      <c r="B970" s="81"/>
      <c r="C970" s="81"/>
      <c r="D970" s="81"/>
    </row>
    <row r="971">
      <c r="B971" s="81"/>
      <c r="C971" s="81"/>
      <c r="D971" s="81"/>
    </row>
    <row r="972">
      <c r="B972" s="81"/>
      <c r="C972" s="81"/>
      <c r="D972" s="81"/>
    </row>
    <row r="973">
      <c r="B973" s="81"/>
      <c r="C973" s="81"/>
      <c r="D973" s="81"/>
    </row>
    <row r="974">
      <c r="B974" s="81"/>
      <c r="C974" s="81"/>
      <c r="D974" s="81"/>
    </row>
    <row r="975">
      <c r="B975" s="81"/>
      <c r="C975" s="81"/>
      <c r="D975" s="81"/>
    </row>
    <row r="976">
      <c r="B976" s="81"/>
      <c r="C976" s="81"/>
      <c r="D976" s="81"/>
    </row>
    <row r="977">
      <c r="B977" s="81"/>
      <c r="C977" s="81"/>
      <c r="D977" s="81"/>
    </row>
    <row r="978">
      <c r="B978" s="81"/>
      <c r="C978" s="81"/>
      <c r="D978" s="81"/>
    </row>
    <row r="979">
      <c r="B979" s="81"/>
      <c r="C979" s="81"/>
      <c r="D979" s="81"/>
    </row>
    <row r="980">
      <c r="B980" s="81"/>
      <c r="C980" s="81"/>
      <c r="D980" s="81"/>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s>
  <drawing r:id="rId430"/>
  <tableParts count="1">
    <tablePart r:id="rId43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7" max="7" width="20.25"/>
    <col customWidth="1" min="8" max="8" width="8.88"/>
    <col customWidth="1" min="9" max="9" width="8.63"/>
    <col customWidth="1" min="15" max="15" width="11.75"/>
    <col customWidth="1" min="16" max="16" width="13.63"/>
    <col customWidth="1" min="17" max="17" width="15.0"/>
    <col customWidth="1" min="20" max="20" width="15.75"/>
  </cols>
  <sheetData>
    <row r="1">
      <c r="A1" s="82" t="s">
        <v>1077</v>
      </c>
      <c r="B1" s="83"/>
      <c r="C1" s="83"/>
      <c r="D1" s="83"/>
      <c r="E1" s="83"/>
      <c r="F1" s="83"/>
      <c r="G1" s="83"/>
      <c r="H1" s="84"/>
      <c r="I1" s="84"/>
      <c r="J1" s="85" t="s">
        <v>1078</v>
      </c>
      <c r="K1" s="86"/>
      <c r="L1" s="87"/>
      <c r="M1" s="84"/>
      <c r="N1" s="84"/>
      <c r="O1" s="88" t="s">
        <v>1079</v>
      </c>
      <c r="P1" s="86"/>
      <c r="Q1" s="87"/>
      <c r="R1" s="84"/>
      <c r="S1" s="84"/>
      <c r="T1" s="84"/>
      <c r="U1" s="84"/>
      <c r="V1" s="84"/>
      <c r="W1" s="84"/>
      <c r="X1" s="84"/>
      <c r="Y1" s="84"/>
      <c r="Z1" s="84"/>
      <c r="AA1" s="84"/>
    </row>
    <row r="2">
      <c r="A2" s="89" t="s">
        <v>1080</v>
      </c>
      <c r="B2" s="89" t="s">
        <v>1081</v>
      </c>
      <c r="C2" s="89" t="s">
        <v>1082</v>
      </c>
      <c r="D2" s="89" t="s">
        <v>1083</v>
      </c>
      <c r="E2" s="89" t="s">
        <v>1084</v>
      </c>
      <c r="F2" s="89" t="s">
        <v>1085</v>
      </c>
      <c r="G2" s="89" t="s">
        <v>1086</v>
      </c>
      <c r="H2" s="84"/>
      <c r="I2" s="84"/>
      <c r="J2" s="90" t="s">
        <v>1071</v>
      </c>
      <c r="K2" s="90" t="s">
        <v>912</v>
      </c>
      <c r="L2" s="90" t="s">
        <v>913</v>
      </c>
      <c r="M2" s="84"/>
      <c r="N2" s="84"/>
      <c r="O2" s="91" t="s">
        <v>1087</v>
      </c>
      <c r="P2" s="91" t="s">
        <v>1088</v>
      </c>
      <c r="Q2" s="91" t="s">
        <v>1089</v>
      </c>
      <c r="R2" s="84"/>
      <c r="S2" s="84"/>
      <c r="T2" s="84"/>
      <c r="U2" s="84"/>
      <c r="V2" s="84"/>
      <c r="W2" s="84"/>
      <c r="X2" s="84"/>
      <c r="Y2" s="84"/>
      <c r="Z2" s="84"/>
      <c r="AA2" s="84"/>
    </row>
    <row r="3">
      <c r="A3" s="92" t="s">
        <v>5</v>
      </c>
      <c r="B3" s="93">
        <f>COUNTIF(engagement!$A:$A, A3)</f>
        <v>135</v>
      </c>
      <c r="C3" s="93">
        <f>ROUND(AVERAGEIF(engagement!$A:$A, A3, engagement!$F:$F), 1)</f>
        <v>207.9</v>
      </c>
      <c r="D3" s="93">
        <f>ROUND(AVERAGEIF(engagement!$A:$A, A3, engagement!$G:$G), 1)</f>
        <v>3.1</v>
      </c>
      <c r="E3" s="94" t="str">
        <f>IFERROR(ROUND(AVERAGEIF(engagement!$A:$A, A3, engagement!$H:$H), 1), "N/A")</f>
        <v>N/A</v>
      </c>
      <c r="F3" s="93">
        <f>ROUND(AVERAGEIF(engagement!$A:$A, A3, engagement!$E:$E), 1)</f>
        <v>5198</v>
      </c>
      <c r="G3" s="95">
        <f>ROUND(AVERAGEIF(engagement!$A:$A, A3, engagement!$I:$I), 1)</f>
        <v>4</v>
      </c>
      <c r="J3" s="96" t="str">
        <f>IFERROR(__xludf.DUMMYFUNCTION("IFERROR(TEXT(INDEX(SORT(FILTER(engagement!$C:$C, engagement!$A:$A=dashboard!$L$4),1,1), ROW()-2), ""YYYY-MM-DD""), """")"),"2020-03-21")</f>
        <v>2020-03-21</v>
      </c>
      <c r="K3" s="93">
        <f>IFERROR(__xludf.DUMMYFUNCTION("IFERROR(INDEX(SORT(FILTER(engagement!$E:$E, engagement!$A:$A=dashboard!$L$4),1,1), ROW()-2), """")"),827.0)</f>
        <v>827</v>
      </c>
      <c r="L3" s="97">
        <f>IFERROR(__xludf.DUMMYFUNCTION("IFERROR(INDEX(SORT(FILTER(engagement!$F:$F, engagement!$A:$A=dashboard!$L$4),1,1), ROW()-2), """")"),57.0)</f>
        <v>57</v>
      </c>
      <c r="O3" s="93">
        <f>SUMIF(engagement!$A:$A, A3, engagement!$F:$F)</f>
        <v>28069</v>
      </c>
      <c r="P3" s="93">
        <f>SUMIF(engagement!$A:$A, A3, engagement!$G:$G)</f>
        <v>416</v>
      </c>
      <c r="Q3" s="93">
        <f>IFERROR(SUMIF(engagement!$A:$A, A3, engagement!$H:$H), 0)</f>
        <v>0</v>
      </c>
    </row>
    <row r="4">
      <c r="A4" s="98" t="s">
        <v>13</v>
      </c>
      <c r="B4" s="99">
        <f>COUNTIF(engagement!$A:$A, A4)</f>
        <v>180</v>
      </c>
      <c r="C4" s="99">
        <f>ROUND(AVERAGEIF(engagement!$A:$A, A4, engagement!$F:$F), 1)</f>
        <v>1.4</v>
      </c>
      <c r="D4" s="99">
        <f>ROUND(AVERAGEIF(engagement!$A:$A, A4, engagement!$G:$G), 1)</f>
        <v>0</v>
      </c>
      <c r="E4" s="100">
        <f>IFERROR(ROUND(AVERAGEIF(engagement!$A:$A, A4, engagement!$H:$H), 1), "N/A")</f>
        <v>0.2</v>
      </c>
      <c r="F4" s="99">
        <f>ROUND(AVERAGEIF(engagement!$A:$A, A4, engagement!$E:$E), 1)</f>
        <v>192</v>
      </c>
      <c r="G4" s="95">
        <f>ROUND(AVERAGEIF(engagement!$A:$A, A4, engagement!$I:$I), 1)</f>
        <v>0.9</v>
      </c>
      <c r="J4" s="101" t="str">
        <f>IFERROR(__xludf.DUMMYFUNCTION("IFERROR(TEXT(INDEX(SORT(FILTER(engagement!$C:$C, engagement!$A:$A=dashboard!$L$4),1,1), ROW()-2), ""YYYY-MM-DD""), """")"),"2021-09-25")</f>
        <v>2021-09-25</v>
      </c>
      <c r="K4" s="99">
        <f>IFERROR(__xludf.DUMMYFUNCTION("IFERROR(INDEX(SORT(FILTER(engagement!$E:$E, engagement!$A:$A=dashboard!$L$4),1,1), ROW()-2), """")"),925.0)</f>
        <v>925</v>
      </c>
      <c r="L4" s="95">
        <f>IFERROR(__xludf.DUMMYFUNCTION("IFERROR(INDEX(SORT(FILTER(engagement!$F:$F, engagement!$A:$A=dashboard!$L$4),1,1), ROW()-2), """")"),57.0)</f>
        <v>57</v>
      </c>
      <c r="O4" s="99">
        <f>SUMIF(engagement!$A:$A, A4, engagement!$F:$F)</f>
        <v>260</v>
      </c>
      <c r="P4" s="99">
        <f>SUMIF(engagement!$A:$A, A4, engagement!$G:$G)</f>
        <v>0</v>
      </c>
      <c r="Q4" s="99">
        <f>IFERROR(SUMIF(engagement!$A:$A, A4, engagement!$H:$H), 0)</f>
        <v>40</v>
      </c>
    </row>
    <row r="5">
      <c r="A5" s="98" t="s">
        <v>9</v>
      </c>
      <c r="B5" s="99">
        <f>COUNTIF(engagement!$A:$A, A5)</f>
        <v>53</v>
      </c>
      <c r="C5" s="99">
        <f>ROUND(AVERAGEIF(engagement!$A:$A, A5, engagement!$F:$F), 1)</f>
        <v>121.1</v>
      </c>
      <c r="D5" s="99">
        <f>ROUND(AVERAGEIF(engagement!$A:$A, A5, engagement!$G:$G), 1)</f>
        <v>1.4</v>
      </c>
      <c r="E5" s="100">
        <f>IFERROR(ROUND(AVERAGEIF(engagement!$A:$A, A5, engagement!$H:$H), 1), "N/A")</f>
        <v>2.1</v>
      </c>
      <c r="F5" s="99">
        <f>ROUND(AVERAGEIF(engagement!$A:$A, A5, engagement!$E:$E), 1)</f>
        <v>4901.1</v>
      </c>
      <c r="G5" s="95">
        <f>ROUND(AVERAGEIF(engagement!$A:$A, A5, engagement!$I:$I), 1)</f>
        <v>3</v>
      </c>
      <c r="J5" s="101" t="str">
        <f>IFERROR(__xludf.DUMMYFUNCTION("IFERROR(TEXT(INDEX(SORT(FILTER(engagement!$C:$C, engagement!$A:$A=dashboard!$L$4),1,1), ROW()-2), ""YYYY-MM-DD""), """")"),"2021-09-28")</f>
        <v>2021-09-28</v>
      </c>
      <c r="K5" s="99">
        <f>IFERROR(__xludf.DUMMYFUNCTION("IFERROR(INDEX(SORT(FILTER(engagement!$E:$E, engagement!$A:$A=dashboard!$L$4),1,1), ROW()-2), """")"),1000.0)</f>
        <v>1000</v>
      </c>
      <c r="L5" s="95">
        <f>IFERROR(__xludf.DUMMYFUNCTION("IFERROR(INDEX(SORT(FILTER(engagement!$F:$F, engagement!$A:$A=dashboard!$L$4),1,1), ROW()-2), """")"),58.0)</f>
        <v>58</v>
      </c>
      <c r="O5" s="99">
        <f>SUMIF(engagement!$A:$A, A5, engagement!$F:$F)</f>
        <v>6418</v>
      </c>
      <c r="P5" s="99">
        <f>SUMIF(engagement!$A:$A, A5, engagement!$G:$G)</f>
        <v>73</v>
      </c>
      <c r="Q5" s="99">
        <f>IFERROR(SUMIF(engagement!$A:$A, A5, engagement!$H:$H), 0)</f>
        <v>112</v>
      </c>
    </row>
    <row r="6">
      <c r="A6" s="102" t="s">
        <v>17</v>
      </c>
      <c r="B6" s="103">
        <f>COUNTIF(engagement!$A:$A, A6)</f>
        <v>61</v>
      </c>
      <c r="C6" s="103">
        <f>ROUND(AVERAGEIF(engagement!$A:$A, A6, engagement!$F:$F), 1)</f>
        <v>479.2</v>
      </c>
      <c r="D6" s="103">
        <f>ROUND(AVERAGEIF(engagement!$A:$A, A6, engagement!$G:$G), 1)</f>
        <v>5</v>
      </c>
      <c r="E6" s="104" t="str">
        <f>IFERROR(ROUND(AVERAGEIF(engagement!$A:$A, A6, engagement!$H:$H), 1), "N/A")</f>
        <v>N/A</v>
      </c>
      <c r="F6" s="103">
        <f>ROUND(AVERAGEIF(engagement!$A:$A, A6, engagement!$E:$E), 1)</f>
        <v>4784.5</v>
      </c>
      <c r="G6" s="105">
        <f>ROUND(AVERAGEIF(engagement!$A:$A, A6, engagement!$I:$I), 1)</f>
        <v>8.3</v>
      </c>
      <c r="J6" s="101" t="str">
        <f>IFERROR(__xludf.DUMMYFUNCTION("IFERROR(TEXT(INDEX(SORT(FILTER(engagement!$C:$C, engagement!$A:$A=dashboard!$L$4),1,1), ROW()-2), ""YYYY-MM-DD""), """")"),"2021-09-30")</f>
        <v>2021-09-30</v>
      </c>
      <c r="K6" s="99">
        <f>IFERROR(__xludf.DUMMYFUNCTION("IFERROR(INDEX(SORT(FILTER(engagement!$E:$E, engagement!$A:$A=dashboard!$L$4),1,1), ROW()-2), """")"),1100.0)</f>
        <v>1100</v>
      </c>
      <c r="L6" s="95">
        <f>IFERROR(__xludf.DUMMYFUNCTION("IFERROR(INDEX(SORT(FILTER(engagement!$F:$F, engagement!$A:$A=dashboard!$L$4),1,1), ROW()-2), """")"),64.0)</f>
        <v>64</v>
      </c>
      <c r="O6" s="103">
        <f>SUMIF(engagement!$A:$A, A6, engagement!$F:$F)</f>
        <v>29229</v>
      </c>
      <c r="P6" s="103">
        <f>SUMIF(engagement!$A:$A, A6, engagement!$G:$G)</f>
        <v>307</v>
      </c>
      <c r="Q6" s="103">
        <f>IFERROR(SUMIF(engagement!$A:$A, A6, engagement!$H:$H), 0)</f>
        <v>0</v>
      </c>
    </row>
    <row r="7">
      <c r="J7" s="101" t="str">
        <f>IFERROR(__xludf.DUMMYFUNCTION("IFERROR(TEXT(INDEX(SORT(FILTER(engagement!$C:$C, engagement!$A:$A=dashboard!$L$4),1,1), ROW()-2), ""YYYY-MM-DD""), """")"),"2021-12-20")</f>
        <v>2021-12-20</v>
      </c>
      <c r="K7" s="99">
        <f>IFERROR(__xludf.DUMMYFUNCTION("IFERROR(INDEX(SORT(FILTER(engagement!$E:$E, engagement!$A:$A=dashboard!$L$4),1,1), ROW()-2), """")"),1100.0)</f>
        <v>1100</v>
      </c>
      <c r="L7" s="95">
        <f>IFERROR(__xludf.DUMMYFUNCTION("IFERROR(INDEX(SORT(FILTER(engagement!$F:$F, engagement!$A:$A=dashboard!$L$4),1,1), ROW()-2), """")"),69.0)</f>
        <v>69</v>
      </c>
    </row>
    <row r="8">
      <c r="J8" s="101" t="str">
        <f>IFERROR(__xludf.DUMMYFUNCTION("IFERROR(TEXT(INDEX(SORT(FILTER(engagement!$C:$C, engagement!$A:$A=dashboard!$L$4),1,1), ROW()-2), ""YYYY-MM-DD""), """")"),"2025-02-06")</f>
        <v>2025-02-06</v>
      </c>
      <c r="K8" s="99">
        <f>IFERROR(__xludf.DUMMYFUNCTION("IFERROR(INDEX(SORT(FILTER(engagement!$E:$E, engagement!$A:$A=dashboard!$L$4),1,1), ROW()-2), """")"),1200.0)</f>
        <v>1200</v>
      </c>
      <c r="L8" s="95">
        <f>IFERROR(__xludf.DUMMYFUNCTION("IFERROR(INDEX(SORT(FILTER(engagement!$F:$F, engagement!$A:$A=dashboard!$L$4),1,1), ROW()-2), """")"),72.0)</f>
        <v>72</v>
      </c>
    </row>
    <row r="9">
      <c r="A9" s="106" t="s">
        <v>1090</v>
      </c>
      <c r="J9" s="101" t="str">
        <f>IFERROR(__xludf.DUMMYFUNCTION("IFERROR(TEXT(INDEX(SORT(FILTER(engagement!$C:$C, engagement!$A:$A=dashboard!$L$4),1,1), ROW()-2), ""YYYY-MM-DD""), """")"),"2025-02-06")</f>
        <v>2025-02-06</v>
      </c>
      <c r="K9" s="99">
        <f>IFERROR(__xludf.DUMMYFUNCTION("IFERROR(INDEX(SORT(FILTER(engagement!$E:$E, engagement!$A:$A=dashboard!$L$4),1,1), ROW()-2), """")"),1200.0)</f>
        <v>1200</v>
      </c>
      <c r="L9" s="95">
        <f>IFERROR(__xludf.DUMMYFUNCTION("IFERROR(INDEX(SORT(FILTER(engagement!$F:$F, engagement!$A:$A=dashboard!$L$4),1,1), ROW()-2), """")"),80.0)</f>
        <v>80</v>
      </c>
      <c r="O9" s="107" t="s">
        <v>1091</v>
      </c>
      <c r="P9" s="86"/>
      <c r="Q9" s="87"/>
    </row>
    <row r="10">
      <c r="A10" s="108" t="s">
        <v>1073</v>
      </c>
      <c r="B10" s="108" t="s">
        <v>5</v>
      </c>
      <c r="C10" s="108" t="s">
        <v>13</v>
      </c>
      <c r="D10" s="108" t="s">
        <v>9</v>
      </c>
      <c r="E10" s="108" t="s">
        <v>17</v>
      </c>
      <c r="J10" s="101" t="str">
        <f>IFERROR(__xludf.DUMMYFUNCTION("IFERROR(TEXT(INDEX(SORT(FILTER(engagement!$C:$C, engagement!$A:$A=dashboard!$L$4),1,1), ROW()-2), ""YYYY-MM-DD""), """")"),"2025-03-11")</f>
        <v>2025-03-11</v>
      </c>
      <c r="K10" s="99">
        <f>IFERROR(__xludf.DUMMYFUNCTION("IFERROR(INDEX(SORT(FILTER(engagement!$E:$E, engagement!$A:$A=dashboard!$L$4),1,1), ROW()-2), """")"),1200.0)</f>
        <v>1200</v>
      </c>
      <c r="L10" s="95">
        <f>IFERROR(__xludf.DUMMYFUNCTION("IFERROR(INDEX(SORT(FILTER(engagement!$F:$F, engagement!$A:$A=dashboard!$L$4),1,1), ROW()-2), """")"),80.0)</f>
        <v>80</v>
      </c>
      <c r="O10" s="109" t="s">
        <v>1092</v>
      </c>
      <c r="P10" s="109" t="s">
        <v>1071</v>
      </c>
      <c r="Q10" s="109" t="s">
        <v>913</v>
      </c>
      <c r="R10" s="109" t="s">
        <v>914</v>
      </c>
      <c r="S10" s="109" t="s">
        <v>912</v>
      </c>
      <c r="T10" s="109" t="s">
        <v>1075</v>
      </c>
      <c r="U10" s="109" t="s">
        <v>38</v>
      </c>
    </row>
    <row r="11">
      <c r="A11" s="110" t="s">
        <v>1093</v>
      </c>
      <c r="B11" s="111">
        <f>COUNTIFS(engagement!$A:$A,"Instagram",engagement!$D:$D,$A11)</f>
        <v>1</v>
      </c>
      <c r="C11" s="93">
        <f>COUNTIFS(engagement!$A:$A,"X",engagement!$D:$D,$A11)</f>
        <v>0</v>
      </c>
      <c r="D11" s="111">
        <f>COUNTIFS(engagement!$A:$A,"LinkedIn",engagement!$D:$D,$A11)</f>
        <v>0</v>
      </c>
      <c r="E11" s="93">
        <f>COUNTIFS(engagement!$A:$A,"ArtStation",engagement!$D:$D,$A11)</f>
        <v>1</v>
      </c>
      <c r="J11" s="101" t="str">
        <f>IFERROR(__xludf.DUMMYFUNCTION("IFERROR(TEXT(INDEX(SORT(FILTER(engagement!$C:$C, engagement!$A:$A=dashboard!$L$4),1,1), ROW()-2), ""YYYY-MM-DD""), """")"),"2025-03-11")</f>
        <v>2025-03-11</v>
      </c>
      <c r="K11" s="99">
        <f>IFERROR(__xludf.DUMMYFUNCTION("IFERROR(INDEX(SORT(FILTER(engagement!$E:$E, engagement!$A:$A=dashboard!$L$4),1,1), ROW()-2), """")"),1200.0)</f>
        <v>1200</v>
      </c>
      <c r="L11" s="95">
        <f>IFERROR(__xludf.DUMMYFUNCTION("IFERROR(INDEX(SORT(FILTER(engagement!$F:$F, engagement!$A:$A=dashboard!$L$4),1,1), ROW()-2), """")"),81.0)</f>
        <v>81</v>
      </c>
      <c r="O11" s="112">
        <v>1.0</v>
      </c>
      <c r="P11" s="93" t="str">
        <f>IFERROR(__xludf.DUMMYFUNCTION("IFERROR(TEXT(INDEX(FILTER(engagement!$C:$C, engagement!$A:$A=dashboard!$L$4), MATCH(T11, FILTER(engagement!$I:$I, engagement!$A:$A=dashboard!$L$4), 0)), ""YYYY-MM-DD""), """")"),"2020-03-21")</f>
        <v>2020-03-21</v>
      </c>
      <c r="Q11" s="113">
        <f>IFERROR(__xludf.DUMMYFUNCTION("IFERROR(INDEX(FILTER(engagement!$F:$F, engagement!$A:$A=dashboard!$L$4), MATCH(T11, FILTER(engagement!$I:$I, engagement!$A:$A=dashboard!$L$4), 0)), """")"),8600.0)</f>
        <v>8600</v>
      </c>
      <c r="R11" s="93">
        <f>IFERROR(__xludf.DUMMYFUNCTION("IFERROR(INDEX(FILTER(engagement!$G:$G, engagement!$A:$A=dashboard!$L$4), MATCH(T11, FILTER(engagement!$I:$I, engagement!$A:$A=dashboard!$L$4), 0)), """")"),141.0)</f>
        <v>141</v>
      </c>
      <c r="S11" s="113">
        <f>IFERROR(__xludf.DUMMYFUNCTION("IFERROR(INDEX(FILTER(engagement!$E:$E, engagement!$A:$A=dashboard!$L$4), MATCH(T11, FILTER(engagement!$I:$I, engagement!$A:$A=dashboard!$L$4), 0)), """")"),14300.0)</f>
        <v>14300</v>
      </c>
      <c r="T11" s="93">
        <f>IFERROR(__xludf.DUMMYFUNCTION("IFERROR(LARGE(FILTER(engagement!$I:$I, engagement!$A:$A=dashboard!$L$4), O11), """")"),61.13)</f>
        <v>61.13</v>
      </c>
      <c r="U11" s="114" t="str">
        <f>IFERROR(__xludf.DUMMYFUNCTION("IFERROR(INDEX(FILTER(engagement!$J:$J, engagement!$A:$A=dashboard!$L$4), MATCH(T11, FILTER(engagement!$I:$I, engagement!$A:$A=dashboard!$L$4), 0)), """")"),"https://www.artstation.com/artwork/gJrOym")</f>
        <v>https://www.artstation.com/artwork/gJrOym</v>
      </c>
    </row>
    <row r="12">
      <c r="A12" s="115" t="s">
        <v>1094</v>
      </c>
      <c r="B12" s="111">
        <f>COUNTIFS(engagement!$A:$A,"Instagram",engagement!$D:$D,$A12)</f>
        <v>6</v>
      </c>
      <c r="C12" s="99">
        <f>COUNTIFS(engagement!$A:$A,"X",engagement!$D:$D,$A12)</f>
        <v>0</v>
      </c>
      <c r="D12" s="111">
        <f>COUNTIFS(engagement!$A:$A,"LinkedIn",engagement!$D:$D,$A12)</f>
        <v>0</v>
      </c>
      <c r="E12" s="99">
        <f>COUNTIFS(engagement!$A:$A,"ArtStation",engagement!$D:$D,$A12)</f>
        <v>3</v>
      </c>
      <c r="J12" s="101" t="str">
        <f>IFERROR(__xludf.DUMMYFUNCTION("IFERROR(TEXT(INDEX(SORT(FILTER(engagement!$C:$C, engagement!$A:$A=dashboard!$L$4),1,1), ROW()-2), ""YYYY-MM-DD""), """")"),"2025-03-11")</f>
        <v>2025-03-11</v>
      </c>
      <c r="K12" s="99">
        <f>IFERROR(__xludf.DUMMYFUNCTION("IFERROR(INDEX(SORT(FILTER(engagement!$E:$E, engagement!$A:$A=dashboard!$L$4),1,1), ROW()-2), """")"),1300.0)</f>
        <v>1300</v>
      </c>
      <c r="L12" s="95">
        <f>IFERROR(__xludf.DUMMYFUNCTION("IFERROR(INDEX(SORT(FILTER(engagement!$F:$F, engagement!$A:$A=dashboard!$L$4),1,1), ROW()-2), """")"),82.0)</f>
        <v>82</v>
      </c>
      <c r="O12" s="116">
        <v>2.0</v>
      </c>
      <c r="P12" s="99" t="str">
        <f>IFERROR(__xludf.DUMMYFUNCTION("IFERROR(TEXT(INDEX(FILTER(engagement!$C:$C, engagement!$A:$A=dashboard!$L$4), MATCH(T12, FILTER(engagement!$I:$I, engagement!$A:$A=dashboard!$L$4), 0)), ""YYYY-MM-DD""), """")"),"2025-04-21")</f>
        <v>2025-04-21</v>
      </c>
      <c r="Q12" s="111">
        <f>IFERROR(__xludf.DUMMYFUNCTION("IFERROR(INDEX(FILTER(engagement!$F:$F, engagement!$A:$A=dashboard!$L$4), MATCH(T12, FILTER(engagement!$I:$I, engagement!$A:$A=dashboard!$L$4), 0)), """")"),665.0)</f>
        <v>665</v>
      </c>
      <c r="R12" s="99">
        <f>IFERROR(__xludf.DUMMYFUNCTION("IFERROR(INDEX(FILTER(engagement!$G:$G, engagement!$A:$A=dashboard!$L$4), MATCH(T12, FILTER(engagement!$I:$I, engagement!$A:$A=dashboard!$L$4), 0)), """")"),0.0)</f>
        <v>0</v>
      </c>
      <c r="S12" s="111">
        <f>IFERROR(__xludf.DUMMYFUNCTION("IFERROR(INDEX(FILTER(engagement!$E:$E, engagement!$A:$A=dashboard!$L$4), MATCH(T12, FILTER(engagement!$I:$I, engagement!$A:$A=dashboard!$L$4), 0)), """")"),5300.0)</f>
        <v>5300</v>
      </c>
      <c r="T12" s="99">
        <f>IFERROR(__xludf.DUMMYFUNCTION("IFERROR(LARGE(FILTER(engagement!$I:$I, engagement!$A:$A=dashboard!$L$4), O12), """")"),12.55)</f>
        <v>12.55</v>
      </c>
      <c r="U12" s="117" t="str">
        <f>IFERROR(__xludf.DUMMYFUNCTION("IFERROR(INDEX(FILTER(engagement!$J:$J, engagement!$A:$A=dashboard!$L$4), MATCH(T12, FILTER(engagement!$I:$I, engagement!$A:$A=dashboard!$L$4), 0)), """")"),"https://www.artstation.com/artwork/bg4gGr")</f>
        <v>https://www.artstation.com/artwork/bg4gGr</v>
      </c>
    </row>
    <row r="13">
      <c r="A13" s="115" t="s">
        <v>1095</v>
      </c>
      <c r="B13" s="111">
        <f>COUNTIFS(engagement!$A:$A,"Instagram",engagement!$D:$D,$A13)</f>
        <v>1</v>
      </c>
      <c r="C13" s="99">
        <f>COUNTIFS(engagement!$A:$A,"X",engagement!$D:$D,$A13)</f>
        <v>0</v>
      </c>
      <c r="D13" s="111">
        <f>COUNTIFS(engagement!$A:$A,"LinkedIn",engagement!$D:$D,$A13)</f>
        <v>0</v>
      </c>
      <c r="E13" s="99">
        <f>COUNTIFS(engagement!$A:$A,"ArtStation",engagement!$D:$D,$A13)</f>
        <v>0</v>
      </c>
      <c r="J13" s="101" t="str">
        <f>IFERROR(__xludf.DUMMYFUNCTION("IFERROR(TEXT(INDEX(SORT(FILTER(engagement!$C:$C, engagement!$A:$A=dashboard!$L$4),1,1), ROW()-2), ""YYYY-MM-DD""), """")"),"2025-03-12")</f>
        <v>2025-03-12</v>
      </c>
      <c r="K13" s="99">
        <f>IFERROR(__xludf.DUMMYFUNCTION("IFERROR(INDEX(SORT(FILTER(engagement!$E:$E, engagement!$A:$A=dashboard!$L$4),1,1), ROW()-2), """")"),1500.0)</f>
        <v>1500</v>
      </c>
      <c r="L13" s="95">
        <f>IFERROR(__xludf.DUMMYFUNCTION("IFERROR(INDEX(SORT(FILTER(engagement!$F:$F, engagement!$A:$A=dashboard!$L$4),1,1), ROW()-2), """")"),82.0)</f>
        <v>82</v>
      </c>
      <c r="O13" s="116">
        <v>3.0</v>
      </c>
      <c r="P13" s="99" t="str">
        <f>IFERROR(__xludf.DUMMYFUNCTION("IFERROR(TEXT(INDEX(FILTER(engagement!$C:$C, engagement!$A:$A=dashboard!$L$4), MATCH(T13, FILTER(engagement!$I:$I, engagement!$A:$A=dashboard!$L$4), 0)), ""YYYY-MM-DD""), """")"),"2026-03-30")</f>
        <v>2026-03-30</v>
      </c>
      <c r="Q13" s="111">
        <f>IFERROR(__xludf.DUMMYFUNCTION("IFERROR(INDEX(FILTER(engagement!$F:$F, engagement!$A:$A=dashboard!$L$4), MATCH(T13, FILTER(engagement!$I:$I, engagement!$A:$A=dashboard!$L$4), 0)), """")"),170.0)</f>
        <v>170</v>
      </c>
      <c r="R13" s="99">
        <f>IFERROR(__xludf.DUMMYFUNCTION("IFERROR(INDEX(FILTER(engagement!$G:$G, engagement!$A:$A=dashboard!$L$4), MATCH(T13, FILTER(engagement!$I:$I, engagement!$A:$A=dashboard!$L$4), 0)), """")"),0.0)</f>
        <v>0</v>
      </c>
      <c r="S13" s="111">
        <f>IFERROR(__xludf.DUMMYFUNCTION("IFERROR(INDEX(FILTER(engagement!$E:$E, engagement!$A:$A=dashboard!$L$4), MATCH(T13, FILTER(engagement!$I:$I, engagement!$A:$A=dashboard!$L$4), 0)), """")"),1500.0)</f>
        <v>1500</v>
      </c>
      <c r="T13" s="99">
        <f>IFERROR(__xludf.DUMMYFUNCTION("IFERROR(LARGE(FILTER(engagement!$I:$I, engagement!$A:$A=dashboard!$L$4), O13), """")"),11.33)</f>
        <v>11.33</v>
      </c>
      <c r="U13" s="117" t="str">
        <f>IFERROR(__xludf.DUMMYFUNCTION("IFERROR(INDEX(FILTER(engagement!$J:$J, engagement!$A:$A=dashboard!$L$4), MATCH(T13, FILTER(engagement!$I:$I, engagement!$A:$A=dashboard!$L$4), 0)), """")"),"https://www.artstation.com/artwork/bg9Nor")</f>
        <v>https://www.artstation.com/artwork/bg9Nor</v>
      </c>
    </row>
    <row r="14">
      <c r="A14" s="115" t="s">
        <v>1096</v>
      </c>
      <c r="B14" s="111">
        <f>COUNTIFS(engagement!$A:$A,"Instagram",engagement!$D:$D,$A14)</f>
        <v>2</v>
      </c>
      <c r="C14" s="99">
        <f>COUNTIFS(engagement!$A:$A,"X",engagement!$D:$D,$A14)</f>
        <v>0</v>
      </c>
      <c r="D14" s="111">
        <f>COUNTIFS(engagement!$A:$A,"LinkedIn",engagement!$D:$D,$A14)</f>
        <v>0</v>
      </c>
      <c r="E14" s="99">
        <f>COUNTIFS(engagement!$A:$A,"ArtStation",engagement!$D:$D,$A14)</f>
        <v>1</v>
      </c>
      <c r="J14" s="101" t="str">
        <f>IFERROR(__xludf.DUMMYFUNCTION("IFERROR(TEXT(INDEX(SORT(FILTER(engagement!$C:$C, engagement!$A:$A=dashboard!$L$4),1,1), ROW()-2), ""YYYY-MM-DD""), """")"),"2025-03-12")</f>
        <v>2025-03-12</v>
      </c>
      <c r="K14" s="99">
        <f>IFERROR(__xludf.DUMMYFUNCTION("IFERROR(INDEX(SORT(FILTER(engagement!$E:$E, engagement!$A:$A=dashboard!$L$4),1,1), ROW()-2), """")"),1500.0)</f>
        <v>1500</v>
      </c>
      <c r="L14" s="95">
        <f>IFERROR(__xludf.DUMMYFUNCTION("IFERROR(INDEX(SORT(FILTER(engagement!$F:$F, engagement!$A:$A=dashboard!$L$4),1,1), ROW()-2), """")"),83.0)</f>
        <v>83</v>
      </c>
      <c r="O14" s="116">
        <v>4.0</v>
      </c>
      <c r="P14" s="99" t="str">
        <f>IFERROR(__xludf.DUMMYFUNCTION("IFERROR(TEXT(INDEX(FILTER(engagement!$C:$C, engagement!$A:$A=dashboard!$L$4), MATCH(T14, FILTER(engagement!$I:$I, engagement!$A:$A=dashboard!$L$4), 0)), ""YYYY-MM-DD""), """")"),"2025-04-21")</f>
        <v>2025-04-21</v>
      </c>
      <c r="Q14" s="111">
        <f>IFERROR(__xludf.DUMMYFUNCTION("IFERROR(INDEX(FILTER(engagement!$F:$F, engagement!$A:$A=dashboard!$L$4), MATCH(T14, FILTER(engagement!$I:$I, engagement!$A:$A=dashboard!$L$4), 0)), """")"),560.0)</f>
        <v>560</v>
      </c>
      <c r="R14" s="99">
        <f>IFERROR(__xludf.DUMMYFUNCTION("IFERROR(INDEX(FILTER(engagement!$G:$G, engagement!$A:$A=dashboard!$L$4), MATCH(T14, FILTER(engagement!$I:$I, engagement!$A:$A=dashboard!$L$4), 0)), """")"),2.0)</f>
        <v>2</v>
      </c>
      <c r="S14" s="111">
        <f>IFERROR(__xludf.DUMMYFUNCTION("IFERROR(INDEX(FILTER(engagement!$E:$E, engagement!$A:$A=dashboard!$L$4), MATCH(T14, FILTER(engagement!$I:$I, engagement!$A:$A=dashboard!$L$4), 0)), """")"),5100.0)</f>
        <v>5100</v>
      </c>
      <c r="T14" s="99">
        <f>IFERROR(__xludf.DUMMYFUNCTION("IFERROR(LARGE(FILTER(engagement!$I:$I, engagement!$A:$A=dashboard!$L$4), O14), """")"),11.02)</f>
        <v>11.02</v>
      </c>
      <c r="U14" s="117" t="str">
        <f>IFERROR(__xludf.DUMMYFUNCTION("IFERROR(INDEX(FILTER(engagement!$J:$J, engagement!$A:$A=dashboard!$L$4), MATCH(T14, FILTER(engagement!$I:$I, engagement!$A:$A=dashboard!$L$4), 0)), """")"),"https://www.artstation.com/artwork/0lqlyw")</f>
        <v>https://www.artstation.com/artwork/0lqlyw</v>
      </c>
    </row>
    <row r="15">
      <c r="A15" s="115" t="s">
        <v>1097</v>
      </c>
      <c r="B15" s="111">
        <f>COUNTIFS(engagement!$A:$A,"Instagram",engagement!$D:$D,$A15)</f>
        <v>1</v>
      </c>
      <c r="C15" s="99">
        <f>COUNTIFS(engagement!$A:$A,"X",engagement!$D:$D,$A15)</f>
        <v>0</v>
      </c>
      <c r="D15" s="111">
        <f>COUNTIFS(engagement!$A:$A,"LinkedIn",engagement!$D:$D,$A15)</f>
        <v>0</v>
      </c>
      <c r="E15" s="99">
        <f>COUNTIFS(engagement!$A:$A,"ArtStation",engagement!$D:$D,$A15)</f>
        <v>0</v>
      </c>
      <c r="J15" s="101" t="str">
        <f>IFERROR(__xludf.DUMMYFUNCTION("IFERROR(TEXT(INDEX(SORT(FILTER(engagement!$C:$C, engagement!$A:$A=dashboard!$L$4),1,1), ROW()-2), ""YYYY-MM-DD""), """")"),"2025-03-12")</f>
        <v>2025-03-12</v>
      </c>
      <c r="K15" s="99">
        <f>IFERROR(__xludf.DUMMYFUNCTION("IFERROR(INDEX(SORT(FILTER(engagement!$E:$E, engagement!$A:$A=dashboard!$L$4),1,1), ROW()-2), """")"),1500.0)</f>
        <v>1500</v>
      </c>
      <c r="L15" s="95">
        <f>IFERROR(__xludf.DUMMYFUNCTION("IFERROR(INDEX(SORT(FILTER(engagement!$F:$F, engagement!$A:$A=dashboard!$L$4),1,1), ROW()-2), """")"),83.0)</f>
        <v>83</v>
      </c>
      <c r="O15" s="116">
        <v>5.0</v>
      </c>
      <c r="P15" s="99" t="str">
        <f>IFERROR(__xludf.DUMMYFUNCTION("IFERROR(TEXT(INDEX(FILTER(engagement!$C:$C, engagement!$A:$A=dashboard!$L$4), MATCH(T15, FILTER(engagement!$I:$I, engagement!$A:$A=dashboard!$L$4), 0)), ""YYYY-MM-DD""), """")"),"2026-04-01")</f>
        <v>2026-04-01</v>
      </c>
      <c r="Q15" s="111">
        <f>IFERROR(__xludf.DUMMYFUNCTION("IFERROR(INDEX(FILTER(engagement!$F:$F, engagement!$A:$A=dashboard!$L$4), MATCH(T15, FILTER(engagement!$I:$I, engagement!$A:$A=dashboard!$L$4), 0)), """")"),303.0)</f>
        <v>303</v>
      </c>
      <c r="R15" s="99">
        <f>IFERROR(__xludf.DUMMYFUNCTION("IFERROR(INDEX(FILTER(engagement!$G:$G, engagement!$A:$A=dashboard!$L$4), MATCH(T15, FILTER(engagement!$I:$I, engagement!$A:$A=dashboard!$L$4), 0)), """")"),2.0)</f>
        <v>2</v>
      </c>
      <c r="S15" s="111">
        <f>IFERROR(__xludf.DUMMYFUNCTION("IFERROR(INDEX(FILTER(engagement!$E:$E, engagement!$A:$A=dashboard!$L$4), MATCH(T15, FILTER(engagement!$I:$I, engagement!$A:$A=dashboard!$L$4), 0)), """")"),2800.0)</f>
        <v>2800</v>
      </c>
      <c r="T15" s="99">
        <f>IFERROR(__xludf.DUMMYFUNCTION("IFERROR(LARGE(FILTER(engagement!$I:$I, engagement!$A:$A=dashboard!$L$4), O15), """")"),10.89)</f>
        <v>10.89</v>
      </c>
      <c r="U15" s="117" t="str">
        <f>IFERROR(__xludf.DUMMYFUNCTION("IFERROR(INDEX(FILTER(engagement!$J:$J, engagement!$A:$A=dashboard!$L$4), MATCH(T15, FILTER(engagement!$I:$I, engagement!$A:$A=dashboard!$L$4), 0)), """")"),"https://www.artstation.com/artwork/gREQl8")</f>
        <v>https://www.artstation.com/artwork/gREQl8</v>
      </c>
    </row>
    <row r="16">
      <c r="A16" s="115" t="s">
        <v>1098</v>
      </c>
      <c r="B16" s="111">
        <f>COUNTIFS(engagement!$A:$A,"Instagram",engagement!$D:$D,$A16)</f>
        <v>1</v>
      </c>
      <c r="C16" s="99">
        <f>COUNTIFS(engagement!$A:$A,"X",engagement!$D:$D,$A16)</f>
        <v>0</v>
      </c>
      <c r="D16" s="111">
        <f>COUNTIFS(engagement!$A:$A,"LinkedIn",engagement!$D:$D,$A16)</f>
        <v>0</v>
      </c>
      <c r="E16" s="99">
        <f>COUNTIFS(engagement!$A:$A,"ArtStation",engagement!$D:$D,$A16)</f>
        <v>0</v>
      </c>
      <c r="J16" s="101" t="str">
        <f>IFERROR(__xludf.DUMMYFUNCTION("IFERROR(TEXT(INDEX(SORT(FILTER(engagement!$C:$C, engagement!$A:$A=dashboard!$L$4),1,1), ROW()-2), ""YYYY-MM-DD""), """")"),"2025-03-13")</f>
        <v>2025-03-13</v>
      </c>
      <c r="K16" s="99">
        <f>IFERROR(__xludf.DUMMYFUNCTION("IFERROR(INDEX(SORT(FILTER(engagement!$E:$E, engagement!$A:$A=dashboard!$L$4),1,1), ROW()-2), """")"),1600.0)</f>
        <v>1600</v>
      </c>
      <c r="L16" s="95">
        <f>IFERROR(__xludf.DUMMYFUNCTION("IFERROR(INDEX(SORT(FILTER(engagement!$F:$F, engagement!$A:$A=dashboard!$L$4),1,1), ROW()-2), """")"),87.0)</f>
        <v>87</v>
      </c>
      <c r="O16" s="116">
        <v>6.0</v>
      </c>
      <c r="P16" s="99" t="str">
        <f>IFERROR(__xludf.DUMMYFUNCTION("IFERROR(TEXT(INDEX(FILTER(engagement!$C:$C, engagement!$A:$A=dashboard!$L$4), MATCH(T16, FILTER(engagement!$I:$I, engagement!$A:$A=dashboard!$L$4), 0)), ""YYYY-MM-DD""), """")"),"2025-08-07")</f>
        <v>2025-08-07</v>
      </c>
      <c r="Q16" s="111">
        <f>IFERROR(__xludf.DUMMYFUNCTION("IFERROR(INDEX(FILTER(engagement!$F:$F, engagement!$A:$A=dashboard!$L$4), MATCH(T16, FILTER(engagement!$I:$I, engagement!$A:$A=dashboard!$L$4), 0)), """")"),580.0)</f>
        <v>580</v>
      </c>
      <c r="R16" s="99">
        <f>IFERROR(__xludf.DUMMYFUNCTION("IFERROR(INDEX(FILTER(engagement!$G:$G, engagement!$A:$A=dashboard!$L$4), MATCH(T16, FILTER(engagement!$I:$I, engagement!$A:$A=dashboard!$L$4), 0)), """")"),5.0)</f>
        <v>5</v>
      </c>
      <c r="S16" s="111">
        <f>IFERROR(__xludf.DUMMYFUNCTION("IFERROR(INDEX(FILTER(engagement!$E:$E, engagement!$A:$A=dashboard!$L$4), MATCH(T16, FILTER(engagement!$I:$I, engagement!$A:$A=dashboard!$L$4), 0)), """")"),5600.0)</f>
        <v>5600</v>
      </c>
      <c r="T16" s="99">
        <f>IFERROR(__xludf.DUMMYFUNCTION("IFERROR(LARGE(FILTER(engagement!$I:$I, engagement!$A:$A=dashboard!$L$4), O16), """")"),10.45)</f>
        <v>10.45</v>
      </c>
      <c r="U16" s="117" t="str">
        <f>IFERROR(__xludf.DUMMYFUNCTION("IFERROR(INDEX(FILTER(engagement!$J:$J, engagement!$A:$A=dashboard!$L$4), MATCH(T16, FILTER(engagement!$I:$I, engagement!$A:$A=dashboard!$L$4), 0)), """")"),"https://www.artstation.com/artwork/OvKAWe")</f>
        <v>https://www.artstation.com/artwork/OvKAWe</v>
      </c>
    </row>
    <row r="17">
      <c r="A17" s="115" t="s">
        <v>1099</v>
      </c>
      <c r="B17" s="111">
        <f>COUNTIFS(engagement!$A:$A,"Instagram",engagement!$D:$D,$A17)</f>
        <v>1</v>
      </c>
      <c r="C17" s="99">
        <f>COUNTIFS(engagement!$A:$A,"X",engagement!$D:$D,$A17)</f>
        <v>0</v>
      </c>
      <c r="D17" s="111">
        <f>COUNTIFS(engagement!$A:$A,"LinkedIn",engagement!$D:$D,$A17)</f>
        <v>0</v>
      </c>
      <c r="E17" s="99">
        <f>COUNTIFS(engagement!$A:$A,"ArtStation",engagement!$D:$D,$A17)</f>
        <v>0</v>
      </c>
      <c r="J17" s="101" t="str">
        <f>IFERROR(__xludf.DUMMYFUNCTION("IFERROR(TEXT(INDEX(SORT(FILTER(engagement!$C:$C, engagement!$A:$A=dashboard!$L$4),1,1), ROW()-2), ""YYYY-MM-DD""), """")"),"2025-03-13")</f>
        <v>2025-03-13</v>
      </c>
      <c r="K17" s="99">
        <f>IFERROR(__xludf.DUMMYFUNCTION("IFERROR(INDEX(SORT(FILTER(engagement!$E:$E, engagement!$A:$A=dashboard!$L$4),1,1), ROW()-2), """")"),1700.0)</f>
        <v>1700</v>
      </c>
      <c r="L17" s="95">
        <f>IFERROR(__xludf.DUMMYFUNCTION("IFERROR(INDEX(SORT(FILTER(engagement!$F:$F, engagement!$A:$A=dashboard!$L$4),1,1), ROW()-2), """")"),93.0)</f>
        <v>93</v>
      </c>
      <c r="O17" s="116">
        <v>7.0</v>
      </c>
      <c r="P17" s="99" t="str">
        <f>IFERROR(__xludf.DUMMYFUNCTION("IFERROR(TEXT(INDEX(FILTER(engagement!$C:$C, engagement!$A:$A=dashboard!$L$4), MATCH(T17, FILTER(engagement!$I:$I, engagement!$A:$A=dashboard!$L$4), 0)), ""YYYY-MM-DD""), """")"),"2025-02-06")</f>
        <v>2025-02-06</v>
      </c>
      <c r="Q17" s="111">
        <f>IFERROR(__xludf.DUMMYFUNCTION("IFERROR(INDEX(FILTER(engagement!$F:$F, engagement!$A:$A=dashboard!$L$4), MATCH(T17, FILTER(engagement!$I:$I, engagement!$A:$A=dashboard!$L$4), 0)), """")"),843.0)</f>
        <v>843</v>
      </c>
      <c r="R17" s="99">
        <f>IFERROR(__xludf.DUMMYFUNCTION("IFERROR(INDEX(FILTER(engagement!$G:$G, engagement!$A:$A=dashboard!$L$4), MATCH(T17, FILTER(engagement!$I:$I, engagement!$A:$A=dashboard!$L$4), 0)), """")"),4.0)</f>
        <v>4</v>
      </c>
      <c r="S17" s="111">
        <f>IFERROR(__xludf.DUMMYFUNCTION("IFERROR(INDEX(FILTER(engagement!$E:$E, engagement!$A:$A=dashboard!$L$4), MATCH(T17, FILTER(engagement!$I:$I, engagement!$A:$A=dashboard!$L$4), 0)), """")"),8300.0)</f>
        <v>8300</v>
      </c>
      <c r="T17" s="99">
        <f>IFERROR(__xludf.DUMMYFUNCTION("IFERROR(LARGE(FILTER(engagement!$I:$I, engagement!$A:$A=dashboard!$L$4), O17), """")"),10.2)</f>
        <v>10.2</v>
      </c>
      <c r="U17" s="117" t="str">
        <f>IFERROR(__xludf.DUMMYFUNCTION("IFERROR(INDEX(FILTER(engagement!$J:$J, engagement!$A:$A=dashboard!$L$4), MATCH(T17, FILTER(engagement!$I:$I, engagement!$A:$A=dashboard!$L$4), 0)), """")"),"https://www.artstation.com/artwork/rlWnde")</f>
        <v>https://www.artstation.com/artwork/rlWnde</v>
      </c>
    </row>
    <row r="18">
      <c r="A18" s="115" t="s">
        <v>1100</v>
      </c>
      <c r="B18" s="111">
        <f>COUNTIFS(engagement!$A:$A,"Instagram",engagement!$D:$D,$A18)</f>
        <v>1</v>
      </c>
      <c r="C18" s="99">
        <f>COUNTIFS(engagement!$A:$A,"X",engagement!$D:$D,$A18)</f>
        <v>0</v>
      </c>
      <c r="D18" s="111">
        <f>COUNTIFS(engagement!$A:$A,"LinkedIn",engagement!$D:$D,$A18)</f>
        <v>0</v>
      </c>
      <c r="E18" s="99">
        <f>COUNTIFS(engagement!$A:$A,"ArtStation",engagement!$D:$D,$A18)</f>
        <v>0</v>
      </c>
      <c r="J18" s="101" t="str">
        <f>IFERROR(__xludf.DUMMYFUNCTION("IFERROR(TEXT(INDEX(SORT(FILTER(engagement!$C:$C, engagement!$A:$A=dashboard!$L$4),1,1), ROW()-2), ""YYYY-MM-DD""), """")"),"2025-03-13")</f>
        <v>2025-03-13</v>
      </c>
      <c r="K18" s="99">
        <f>IFERROR(__xludf.DUMMYFUNCTION("IFERROR(INDEX(SORT(FILTER(engagement!$E:$E, engagement!$A:$A=dashboard!$L$4),1,1), ROW()-2), """")"),1700.0)</f>
        <v>1700</v>
      </c>
      <c r="L18" s="95">
        <f>IFERROR(__xludf.DUMMYFUNCTION("IFERROR(INDEX(SORT(FILTER(engagement!$F:$F, engagement!$A:$A=dashboard!$L$4),1,1), ROW()-2), """")"),98.0)</f>
        <v>98</v>
      </c>
      <c r="O18" s="116">
        <v>8.0</v>
      </c>
      <c r="P18" s="99" t="str">
        <f>IFERROR(__xludf.DUMMYFUNCTION("IFERROR(TEXT(INDEX(FILTER(engagement!$C:$C, engagement!$A:$A=dashboard!$L$4), MATCH(T18, FILTER(engagement!$I:$I, engagement!$A:$A=dashboard!$L$4), 0)), ""YYYY-MM-DD""), """")"),"2025-04-21")</f>
        <v>2025-04-21</v>
      </c>
      <c r="Q18" s="111">
        <f>IFERROR(__xludf.DUMMYFUNCTION("IFERROR(INDEX(FILTER(engagement!$F:$F, engagement!$A:$A=dashboard!$L$4), MATCH(T18, FILTER(engagement!$I:$I, engagement!$A:$A=dashboard!$L$4), 0)), """")"),567.0)</f>
        <v>567</v>
      </c>
      <c r="R18" s="99">
        <f>IFERROR(__xludf.DUMMYFUNCTION("IFERROR(INDEX(FILTER(engagement!$G:$G, engagement!$A:$A=dashboard!$L$4), MATCH(T18, FILTER(engagement!$I:$I, engagement!$A:$A=dashboard!$L$4), 0)), """")"),2.0)</f>
        <v>2</v>
      </c>
      <c r="S18" s="111">
        <f>IFERROR(__xludf.DUMMYFUNCTION("IFERROR(INDEX(FILTER(engagement!$E:$E, engagement!$A:$A=dashboard!$L$4), MATCH(T18, FILTER(engagement!$I:$I, engagement!$A:$A=dashboard!$L$4), 0)), """")"),5600.0)</f>
        <v>5600</v>
      </c>
      <c r="T18" s="99">
        <f>IFERROR(__xludf.DUMMYFUNCTION("IFERROR(LARGE(FILTER(engagement!$I:$I, engagement!$A:$A=dashboard!$L$4), O18), """")"),10.16)</f>
        <v>10.16</v>
      </c>
      <c r="U18" s="117" t="str">
        <f>IFERROR(__xludf.DUMMYFUNCTION("IFERROR(INDEX(FILTER(engagement!$J:$J, engagement!$A:$A=dashboard!$L$4), MATCH(T18, FILTER(engagement!$I:$I, engagement!$A:$A=dashboard!$L$4), 0)), """")"),"https://www.artstation.com/artwork/4NLNmW")</f>
        <v>https://www.artstation.com/artwork/4NLNmW</v>
      </c>
    </row>
    <row r="19">
      <c r="A19" s="115" t="s">
        <v>1101</v>
      </c>
      <c r="B19" s="111">
        <f>COUNTIFS(engagement!$A:$A,"Instagram",engagement!$D:$D,$A19)</f>
        <v>1</v>
      </c>
      <c r="C19" s="99">
        <f>COUNTIFS(engagement!$A:$A,"X",engagement!$D:$D,$A19)</f>
        <v>0</v>
      </c>
      <c r="D19" s="111">
        <f>COUNTIFS(engagement!$A:$A,"LinkedIn",engagement!$D:$D,$A19)</f>
        <v>0</v>
      </c>
      <c r="E19" s="99">
        <f>COUNTIFS(engagement!$A:$A,"ArtStation",engagement!$D:$D,$A19)</f>
        <v>0</v>
      </c>
      <c r="J19" s="101" t="str">
        <f>IFERROR(__xludf.DUMMYFUNCTION("IFERROR(TEXT(INDEX(SORT(FILTER(engagement!$C:$C, engagement!$A:$A=dashboard!$L$4),1,1), ROW()-2), ""YYYY-MM-DD""), """")"),"2025-03-17")</f>
        <v>2025-03-17</v>
      </c>
      <c r="K19" s="99">
        <f>IFERROR(__xludf.DUMMYFUNCTION("IFERROR(INDEX(SORT(FILTER(engagement!$E:$E, engagement!$A:$A=dashboard!$L$4),1,1), ROW()-2), """")"),1700.0)</f>
        <v>1700</v>
      </c>
      <c r="L19" s="95">
        <f>IFERROR(__xludf.DUMMYFUNCTION("IFERROR(INDEX(SORT(FILTER(engagement!$F:$F, engagement!$A:$A=dashboard!$L$4),1,1), ROW()-2), """")"),105.0)</f>
        <v>105</v>
      </c>
      <c r="O19" s="116">
        <v>9.0</v>
      </c>
      <c r="P19" s="99" t="str">
        <f>IFERROR(__xludf.DUMMYFUNCTION("IFERROR(TEXT(INDEX(FILTER(engagement!$C:$C, engagement!$A:$A=dashboard!$L$4), MATCH(T19, FILTER(engagement!$I:$I, engagement!$A:$A=dashboard!$L$4), 0)), ""YYYY-MM-DD""), """")"),"2026-02-06")</f>
        <v>2026-02-06</v>
      </c>
      <c r="Q19" s="111">
        <f>IFERROR(__xludf.DUMMYFUNCTION("IFERROR(INDEX(FILTER(engagement!$F:$F, engagement!$A:$A=dashboard!$L$4), MATCH(T19, FILTER(engagement!$I:$I, engagement!$A:$A=dashboard!$L$4), 0)), """")"),170.0)</f>
        <v>170</v>
      </c>
      <c r="R19" s="99">
        <f>IFERROR(__xludf.DUMMYFUNCTION("IFERROR(INDEX(FILTER(engagement!$G:$G, engagement!$A:$A=dashboard!$L$4), MATCH(T19, FILTER(engagement!$I:$I, engagement!$A:$A=dashboard!$L$4), 0)), """")"),2.0)</f>
        <v>2</v>
      </c>
      <c r="S19" s="111">
        <f>IFERROR(__xludf.DUMMYFUNCTION("IFERROR(INDEX(FILTER(engagement!$E:$E, engagement!$A:$A=dashboard!$L$4), MATCH(T19, FILTER(engagement!$I:$I, engagement!$A:$A=dashboard!$L$4), 0)), """")"),1700.0)</f>
        <v>1700</v>
      </c>
      <c r="T19" s="99">
        <f>IFERROR(__xludf.DUMMYFUNCTION("IFERROR(LARGE(FILTER(engagement!$I:$I, engagement!$A:$A=dashboard!$L$4), O19), """")"),10.12)</f>
        <v>10.12</v>
      </c>
      <c r="U19" s="117" t="str">
        <f>IFERROR(__xludf.DUMMYFUNCTION("IFERROR(INDEX(FILTER(engagement!$J:$J, engagement!$A:$A=dashboard!$L$4), MATCH(T19, FILTER(engagement!$I:$I, engagement!$A:$A=dashboard!$L$4), 0)), """")"),"https://www.artstation.com/artwork/oJNekO")</f>
        <v>https://www.artstation.com/artwork/oJNekO</v>
      </c>
    </row>
    <row r="20">
      <c r="A20" s="115" t="s">
        <v>1102</v>
      </c>
      <c r="B20" s="111">
        <f>COUNTIFS(engagement!$A:$A,"Instagram",engagement!$D:$D,$A20)</f>
        <v>1</v>
      </c>
      <c r="C20" s="99">
        <f>COUNTIFS(engagement!$A:$A,"X",engagement!$D:$D,$A20)</f>
        <v>0</v>
      </c>
      <c r="D20" s="111">
        <f>COUNTIFS(engagement!$A:$A,"LinkedIn",engagement!$D:$D,$A20)</f>
        <v>0</v>
      </c>
      <c r="E20" s="99">
        <f>COUNTIFS(engagement!$A:$A,"ArtStation",engagement!$D:$D,$A20)</f>
        <v>0</v>
      </c>
      <c r="J20" s="101" t="str">
        <f>IFERROR(__xludf.DUMMYFUNCTION("IFERROR(TEXT(INDEX(SORT(FILTER(engagement!$C:$C, engagement!$A:$A=dashboard!$L$4),1,1), ROW()-2), ""YYYY-MM-DD""), """")"),"2025-03-17")</f>
        <v>2025-03-17</v>
      </c>
      <c r="K20" s="99">
        <f>IFERROR(__xludf.DUMMYFUNCTION("IFERROR(INDEX(SORT(FILTER(engagement!$E:$E, engagement!$A:$A=dashboard!$L$4),1,1), ROW()-2), """")"),1700.0)</f>
        <v>1700</v>
      </c>
      <c r="L20" s="95">
        <f>IFERROR(__xludf.DUMMYFUNCTION("IFERROR(INDEX(SORT(FILTER(engagement!$F:$F, engagement!$A:$A=dashboard!$L$4),1,1), ROW()-2), """")"),107.0)</f>
        <v>107</v>
      </c>
      <c r="O20" s="118">
        <v>10.0</v>
      </c>
      <c r="P20" s="103" t="str">
        <f>IFERROR(__xludf.DUMMYFUNCTION("IFERROR(TEXT(INDEX(FILTER(engagement!$C:$C, engagement!$A:$A=dashboard!$L$4), MATCH(T20, FILTER(engagement!$I:$I, engagement!$A:$A=dashboard!$L$4), 0)), ""YYYY-MM-DD""), """")"),"2026-04-01")</f>
        <v>2026-04-01</v>
      </c>
      <c r="Q20" s="119">
        <f>IFERROR(__xludf.DUMMYFUNCTION("IFERROR(INDEX(FILTER(engagement!$F:$F, engagement!$A:$A=dashboard!$L$4), MATCH(T20, FILTER(engagement!$I:$I, engagement!$A:$A=dashboard!$L$4), 0)), """")"),148.0)</f>
        <v>148</v>
      </c>
      <c r="R20" s="103">
        <f>IFERROR(__xludf.DUMMYFUNCTION("IFERROR(INDEX(FILTER(engagement!$G:$G, engagement!$A:$A=dashboard!$L$4), MATCH(T20, FILTER(engagement!$I:$I, engagement!$A:$A=dashboard!$L$4), 0)), """")"),3.0)</f>
        <v>3</v>
      </c>
      <c r="S20" s="119">
        <f>IFERROR(__xludf.DUMMYFUNCTION("IFERROR(INDEX(FILTER(engagement!$E:$E, engagement!$A:$A=dashboard!$L$4), MATCH(T20, FILTER(engagement!$I:$I, engagement!$A:$A=dashboard!$L$4), 0)), """")"),1500.0)</f>
        <v>1500</v>
      </c>
      <c r="T20" s="103">
        <f>IFERROR(__xludf.DUMMYFUNCTION("IFERROR(LARGE(FILTER(engagement!$I:$I, engagement!$A:$A=dashboard!$L$4), O20), """")"),10.07)</f>
        <v>10.07</v>
      </c>
      <c r="U20" s="120" t="str">
        <f>IFERROR(__xludf.DUMMYFUNCTION("IFERROR(INDEX(FILTER(engagement!$J:$J, engagement!$A:$A=dashboard!$L$4), MATCH(T20, FILTER(engagement!$I:$I, engagement!$A:$A=dashboard!$L$4), 0)), """")"),"https://www.artstation.com/artwork/WXR1WE")</f>
        <v>https://www.artstation.com/artwork/WXR1WE</v>
      </c>
    </row>
    <row r="21">
      <c r="A21" s="115" t="s">
        <v>1103</v>
      </c>
      <c r="B21" s="111">
        <f>COUNTIFS(engagement!$A:$A,"Instagram",engagement!$D:$D,$A21)</f>
        <v>2</v>
      </c>
      <c r="C21" s="99">
        <f>COUNTIFS(engagement!$A:$A,"X",engagement!$D:$D,$A21)</f>
        <v>0</v>
      </c>
      <c r="D21" s="111">
        <f>COUNTIFS(engagement!$A:$A,"LinkedIn",engagement!$D:$D,$A21)</f>
        <v>0</v>
      </c>
      <c r="E21" s="99">
        <f>COUNTIFS(engagement!$A:$A,"ArtStation",engagement!$D:$D,$A21)</f>
        <v>0</v>
      </c>
      <c r="J21" s="101" t="str">
        <f>IFERROR(__xludf.DUMMYFUNCTION("IFERROR(TEXT(INDEX(SORT(FILTER(engagement!$C:$C, engagement!$A:$A=dashboard!$L$4),1,1), ROW()-2), ""YYYY-MM-DD""), """")"),"2025-03-17")</f>
        <v>2025-03-17</v>
      </c>
      <c r="K21" s="99">
        <f>IFERROR(__xludf.DUMMYFUNCTION("IFERROR(INDEX(SORT(FILTER(engagement!$E:$E, engagement!$A:$A=dashboard!$L$4),1,1), ROW()-2), """")"),1700.0)</f>
        <v>1700</v>
      </c>
      <c r="L21" s="95">
        <f>IFERROR(__xludf.DUMMYFUNCTION("IFERROR(INDEX(SORT(FILTER(engagement!$F:$F, engagement!$A:$A=dashboard!$L$4),1,1), ROW()-2), """")"),118.0)</f>
        <v>118</v>
      </c>
    </row>
    <row r="22">
      <c r="A22" s="115" t="s">
        <v>1104</v>
      </c>
      <c r="B22" s="111">
        <f>COUNTIFS(engagement!$A:$A,"Instagram",engagement!$D:$D,$A22)</f>
        <v>1</v>
      </c>
      <c r="C22" s="99">
        <f>COUNTIFS(engagement!$A:$A,"X",engagement!$D:$D,$A22)</f>
        <v>0</v>
      </c>
      <c r="D22" s="111">
        <f>COUNTIFS(engagement!$A:$A,"LinkedIn",engagement!$D:$D,$A22)</f>
        <v>0</v>
      </c>
      <c r="E22" s="99">
        <f>COUNTIFS(engagement!$A:$A,"ArtStation",engagement!$D:$D,$A22)</f>
        <v>0</v>
      </c>
      <c r="J22" s="101" t="str">
        <f>IFERROR(__xludf.DUMMYFUNCTION("IFERROR(TEXT(INDEX(SORT(FILTER(engagement!$C:$C, engagement!$A:$A=dashboard!$L$4),1,1), ROW()-2), ""YYYY-MM-DD""), """")"),"2025-03-18")</f>
        <v>2025-03-18</v>
      </c>
      <c r="K22" s="99">
        <f>IFERROR(__xludf.DUMMYFUNCTION("IFERROR(INDEX(SORT(FILTER(engagement!$E:$E, engagement!$A:$A=dashboard!$L$4),1,1), ROW()-2), """")"),1800.0)</f>
        <v>1800</v>
      </c>
      <c r="L22" s="95">
        <f>IFERROR(__xludf.DUMMYFUNCTION("IFERROR(INDEX(SORT(FILTER(engagement!$F:$F, engagement!$A:$A=dashboard!$L$4),1,1), ROW()-2), """")"),121.0)</f>
        <v>121</v>
      </c>
    </row>
    <row r="23">
      <c r="A23" s="115" t="s">
        <v>1105</v>
      </c>
      <c r="B23" s="111">
        <f>COUNTIFS(engagement!$A:$A,"Instagram",engagement!$D:$D,$A23)</f>
        <v>3</v>
      </c>
      <c r="C23" s="99">
        <f>COUNTIFS(engagement!$A:$A,"X",engagement!$D:$D,$A23)</f>
        <v>0</v>
      </c>
      <c r="D23" s="111">
        <f>COUNTIFS(engagement!$A:$A,"LinkedIn",engagement!$D:$D,$A23)</f>
        <v>0</v>
      </c>
      <c r="E23" s="99">
        <f>COUNTIFS(engagement!$A:$A,"ArtStation",engagement!$D:$D,$A23)</f>
        <v>0</v>
      </c>
      <c r="J23" s="101" t="str">
        <f>IFERROR(__xludf.DUMMYFUNCTION("IFERROR(TEXT(INDEX(SORT(FILTER(engagement!$C:$C, engagement!$A:$A=dashboard!$L$4),1,1), ROW()-2), ""YYYY-MM-DD""), """")"),"2025-03-18")</f>
        <v>2025-03-18</v>
      </c>
      <c r="K23" s="99">
        <f>IFERROR(__xludf.DUMMYFUNCTION("IFERROR(INDEX(SORT(FILTER(engagement!$E:$E, engagement!$A:$A=dashboard!$L$4),1,1), ROW()-2), """")"),1900.0)</f>
        <v>1900</v>
      </c>
      <c r="L23" s="95">
        <f>IFERROR(__xludf.DUMMYFUNCTION("IFERROR(INDEX(SORT(FILTER(engagement!$F:$F, engagement!$A:$A=dashboard!$L$4),1,1), ROW()-2), """")"),126.0)</f>
        <v>126</v>
      </c>
    </row>
    <row r="24">
      <c r="A24" s="115" t="s">
        <v>1106</v>
      </c>
      <c r="B24" s="111">
        <f>COUNTIFS(engagement!$A:$A,"Instagram",engagement!$D:$D,$A24)</f>
        <v>1</v>
      </c>
      <c r="C24" s="99">
        <f>COUNTIFS(engagement!$A:$A,"X",engagement!$D:$D,$A24)</f>
        <v>0</v>
      </c>
      <c r="D24" s="111">
        <f>COUNTIFS(engagement!$A:$A,"LinkedIn",engagement!$D:$D,$A24)</f>
        <v>0</v>
      </c>
      <c r="E24" s="99">
        <f>COUNTIFS(engagement!$A:$A,"ArtStation",engagement!$D:$D,$A24)</f>
        <v>0</v>
      </c>
      <c r="J24" s="101" t="str">
        <f>IFERROR(__xludf.DUMMYFUNCTION("IFERROR(TEXT(INDEX(SORT(FILTER(engagement!$C:$C, engagement!$A:$A=dashboard!$L$4),1,1), ROW()-2), ""YYYY-MM-DD""), """")"),"2025-03-18")</f>
        <v>2025-03-18</v>
      </c>
      <c r="K24" s="99">
        <f>IFERROR(__xludf.DUMMYFUNCTION("IFERROR(INDEX(SORT(FILTER(engagement!$E:$E, engagement!$A:$A=dashboard!$L$4),1,1), ROW()-2), """")"),1900.0)</f>
        <v>1900</v>
      </c>
      <c r="L24" s="95">
        <f>IFERROR(__xludf.DUMMYFUNCTION("IFERROR(INDEX(SORT(FILTER(engagement!$F:$F, engagement!$A:$A=dashboard!$L$4),1,1), ROW()-2), """")"),130.0)</f>
        <v>130</v>
      </c>
    </row>
    <row r="25">
      <c r="A25" s="115" t="s">
        <v>1107</v>
      </c>
      <c r="B25" s="111">
        <f>COUNTIFS(engagement!$A:$A,"Instagram",engagement!$D:$D,$A25)</f>
        <v>7</v>
      </c>
      <c r="C25" s="99">
        <f>COUNTIFS(engagement!$A:$A,"X",engagement!$D:$D,$A25)</f>
        <v>20</v>
      </c>
      <c r="D25" s="111">
        <f>COUNTIFS(engagement!$A:$A,"LinkedIn",engagement!$D:$D,$A25)</f>
        <v>0</v>
      </c>
      <c r="E25" s="99">
        <f>COUNTIFS(engagement!$A:$A,"ArtStation",engagement!$D:$D,$A25)</f>
        <v>0</v>
      </c>
      <c r="J25" s="101" t="str">
        <f>IFERROR(__xludf.DUMMYFUNCTION("IFERROR(TEXT(INDEX(SORT(FILTER(engagement!$C:$C, engagement!$A:$A=dashboard!$L$4),1,1), ROW()-2), ""YYYY-MM-DD""), """")"),"2025-03-18")</f>
        <v>2025-03-18</v>
      </c>
      <c r="K25" s="99">
        <f>IFERROR(__xludf.DUMMYFUNCTION("IFERROR(INDEX(SORT(FILTER(engagement!$E:$E, engagement!$A:$A=dashboard!$L$4),1,1), ROW()-2), """")"),1900.0)</f>
        <v>1900</v>
      </c>
      <c r="L25" s="95">
        <f>IFERROR(__xludf.DUMMYFUNCTION("IFERROR(INDEX(SORT(FILTER(engagement!$F:$F, engagement!$A:$A=dashboard!$L$4),1,1), ROW()-2), """")"),133.0)</f>
        <v>133</v>
      </c>
    </row>
    <row r="26">
      <c r="A26" s="115" t="s">
        <v>1108</v>
      </c>
      <c r="B26" s="111">
        <f>COUNTIFS(engagement!$A:$A,"Instagram",engagement!$D:$D,$A26)</f>
        <v>7</v>
      </c>
      <c r="C26" s="99">
        <f>COUNTIFS(engagement!$A:$A,"X",engagement!$D:$D,$A26)</f>
        <v>140</v>
      </c>
      <c r="D26" s="111">
        <f>COUNTIFS(engagement!$A:$A,"LinkedIn",engagement!$D:$D,$A26)</f>
        <v>0</v>
      </c>
      <c r="E26" s="99">
        <f>COUNTIFS(engagement!$A:$A,"ArtStation",engagement!$D:$D,$A26)</f>
        <v>0</v>
      </c>
      <c r="J26" s="101" t="str">
        <f>IFERROR(__xludf.DUMMYFUNCTION("IFERROR(TEXT(INDEX(SORT(FILTER(engagement!$C:$C, engagement!$A:$A=dashboard!$L$4),1,1), ROW()-2), ""YYYY-MM-DD""), """")"),"2025-03-28")</f>
        <v>2025-03-28</v>
      </c>
      <c r="K26" s="99">
        <f>IFERROR(__xludf.DUMMYFUNCTION("IFERROR(INDEX(SORT(FILTER(engagement!$E:$E, engagement!$A:$A=dashboard!$L$4),1,1), ROW()-2), """")"),2100.0)</f>
        <v>2100</v>
      </c>
      <c r="L26" s="95">
        <f>IFERROR(__xludf.DUMMYFUNCTION("IFERROR(INDEX(SORT(FILTER(engagement!$F:$F, engagement!$A:$A=dashboard!$L$4),1,1), ROW()-2), """")"),135.0)</f>
        <v>135</v>
      </c>
    </row>
    <row r="27">
      <c r="A27" s="115" t="s">
        <v>1109</v>
      </c>
      <c r="B27" s="111">
        <f>COUNTIFS(engagement!$A:$A,"Instagram",engagement!$D:$D,$A27)</f>
        <v>2</v>
      </c>
      <c r="C27" s="99">
        <f>COUNTIFS(engagement!$A:$A,"X",engagement!$D:$D,$A27)</f>
        <v>20</v>
      </c>
      <c r="D27" s="111">
        <f>COUNTIFS(engagement!$A:$A,"LinkedIn",engagement!$D:$D,$A27)</f>
        <v>0</v>
      </c>
      <c r="E27" s="99">
        <f>COUNTIFS(engagement!$A:$A,"ArtStation",engagement!$D:$D,$A27)</f>
        <v>0</v>
      </c>
      <c r="J27" s="101" t="str">
        <f>IFERROR(__xludf.DUMMYFUNCTION("IFERROR(TEXT(INDEX(SORT(FILTER(engagement!$C:$C, engagement!$A:$A=dashboard!$L$4),1,1), ROW()-2), ""YYYY-MM-DD""), """")"),"2025-03-28")</f>
        <v>2025-03-28</v>
      </c>
      <c r="K27" s="99">
        <f>IFERROR(__xludf.DUMMYFUNCTION("IFERROR(INDEX(SORT(FILTER(engagement!$E:$E, engagement!$A:$A=dashboard!$L$4),1,1), ROW()-2), """")"),2100.0)</f>
        <v>2100</v>
      </c>
      <c r="L27" s="95">
        <f>IFERROR(__xludf.DUMMYFUNCTION("IFERROR(INDEX(SORT(FILTER(engagement!$F:$F, engagement!$A:$A=dashboard!$L$4),1,1), ROW()-2), """")"),137.0)</f>
        <v>137</v>
      </c>
    </row>
    <row r="28">
      <c r="A28" s="115" t="s">
        <v>1110</v>
      </c>
      <c r="B28" s="111">
        <f>COUNTIFS(engagement!$A:$A,"Instagram",engagement!$D:$D,$A28)</f>
        <v>2</v>
      </c>
      <c r="C28" s="99">
        <f>COUNTIFS(engagement!$A:$A,"X",engagement!$D:$D,$A28)</f>
        <v>0</v>
      </c>
      <c r="D28" s="111">
        <f>COUNTIFS(engagement!$A:$A,"LinkedIn",engagement!$D:$D,$A28)</f>
        <v>0</v>
      </c>
      <c r="E28" s="99">
        <f>COUNTIFS(engagement!$A:$A,"ArtStation",engagement!$D:$D,$A28)</f>
        <v>0</v>
      </c>
      <c r="J28" s="101" t="str">
        <f>IFERROR(__xludf.DUMMYFUNCTION("IFERROR(TEXT(INDEX(SORT(FILTER(engagement!$C:$C, engagement!$A:$A=dashboard!$L$4),1,1), ROW()-2), ""YYYY-MM-DD""), """")"),"2025-03-29")</f>
        <v>2025-03-29</v>
      </c>
      <c r="K28" s="99">
        <f>IFERROR(__xludf.DUMMYFUNCTION("IFERROR(INDEX(SORT(FILTER(engagement!$E:$E, engagement!$A:$A=dashboard!$L$4),1,1), ROW()-2), """")"),2100.0)</f>
        <v>2100</v>
      </c>
      <c r="L28" s="95">
        <f>IFERROR(__xludf.DUMMYFUNCTION("IFERROR(INDEX(SORT(FILTER(engagement!$F:$F, engagement!$A:$A=dashboard!$L$4),1,1), ROW()-2), """")"),148.0)</f>
        <v>148</v>
      </c>
    </row>
    <row r="29">
      <c r="A29" s="115" t="s">
        <v>1111</v>
      </c>
      <c r="B29" s="111">
        <f>COUNTIFS(engagement!$A:$A,"Instagram",engagement!$D:$D,$A29)</f>
        <v>2</v>
      </c>
      <c r="C29" s="99">
        <f>COUNTIFS(engagement!$A:$A,"X",engagement!$D:$D,$A29)</f>
        <v>0</v>
      </c>
      <c r="D29" s="111">
        <f>COUNTIFS(engagement!$A:$A,"LinkedIn",engagement!$D:$D,$A29)</f>
        <v>0</v>
      </c>
      <c r="E29" s="99">
        <f>COUNTIFS(engagement!$A:$A,"ArtStation",engagement!$D:$D,$A29)</f>
        <v>0</v>
      </c>
      <c r="J29" s="101" t="str">
        <f>IFERROR(__xludf.DUMMYFUNCTION("IFERROR(TEXT(INDEX(SORT(FILTER(engagement!$C:$C, engagement!$A:$A=dashboard!$L$4),1,1), ROW()-2), ""YYYY-MM-DD""), """")"),"2025-03-29")</f>
        <v>2025-03-29</v>
      </c>
      <c r="K29" s="99">
        <f>IFERROR(__xludf.DUMMYFUNCTION("IFERROR(INDEX(SORT(FILTER(engagement!$E:$E, engagement!$A:$A=dashboard!$L$4),1,1), ROW()-2), """")"),2300.0)</f>
        <v>2300</v>
      </c>
      <c r="L29" s="95">
        <f>IFERROR(__xludf.DUMMYFUNCTION("IFERROR(INDEX(SORT(FILTER(engagement!$F:$F, engagement!$A:$A=dashboard!$L$4),1,1), ROW()-2), """")"),165.0)</f>
        <v>165</v>
      </c>
    </row>
    <row r="30">
      <c r="A30" s="115" t="s">
        <v>1112</v>
      </c>
      <c r="B30" s="111">
        <f>COUNTIFS(engagement!$A:$A,"Instagram",engagement!$D:$D,$A30)</f>
        <v>4</v>
      </c>
      <c r="C30" s="99">
        <f>COUNTIFS(engagement!$A:$A,"X",engagement!$D:$D,$A30)</f>
        <v>0</v>
      </c>
      <c r="D30" s="111">
        <f>COUNTIFS(engagement!$A:$A,"LinkedIn",engagement!$D:$D,$A30)</f>
        <v>0</v>
      </c>
      <c r="E30" s="99">
        <f>COUNTIFS(engagement!$A:$A,"ArtStation",engagement!$D:$D,$A30)</f>
        <v>0</v>
      </c>
      <c r="J30" s="101" t="str">
        <f>IFERROR(__xludf.DUMMYFUNCTION("IFERROR(TEXT(INDEX(SORT(FILTER(engagement!$C:$C, engagement!$A:$A=dashboard!$L$4),1,1), ROW()-2), ""YYYY-MM-DD""), """")"),"2025-04-01")</f>
        <v>2025-04-01</v>
      </c>
      <c r="K30" s="99">
        <f>IFERROR(__xludf.DUMMYFUNCTION("IFERROR(INDEX(SORT(FILTER(engagement!$E:$E, engagement!$A:$A=dashboard!$L$4),1,1), ROW()-2), """")"),2300.0)</f>
        <v>2300</v>
      </c>
      <c r="L30" s="95">
        <f>IFERROR(__xludf.DUMMYFUNCTION("IFERROR(INDEX(SORT(FILTER(engagement!$F:$F, engagement!$A:$A=dashboard!$L$4),1,1), ROW()-2), """")"),170.0)</f>
        <v>170</v>
      </c>
    </row>
    <row r="31">
      <c r="A31" s="115" t="s">
        <v>1113</v>
      </c>
      <c r="B31" s="111">
        <f>COUNTIFS(engagement!$A:$A,"Instagram",engagement!$D:$D,$A31)</f>
        <v>1</v>
      </c>
      <c r="C31" s="99">
        <f>COUNTIFS(engagement!$A:$A,"X",engagement!$D:$D,$A31)</f>
        <v>0</v>
      </c>
      <c r="D31" s="111">
        <f>COUNTIFS(engagement!$A:$A,"LinkedIn",engagement!$D:$D,$A31)</f>
        <v>0</v>
      </c>
      <c r="E31" s="99">
        <f>COUNTIFS(engagement!$A:$A,"ArtStation",engagement!$D:$D,$A31)</f>
        <v>0</v>
      </c>
      <c r="J31" s="101" t="str">
        <f>IFERROR(__xludf.DUMMYFUNCTION("IFERROR(TEXT(INDEX(SORT(FILTER(engagement!$C:$C, engagement!$A:$A=dashboard!$L$4),1,1), ROW()-2), ""YYYY-MM-DD""), """")"),"2025-04-01")</f>
        <v>2025-04-01</v>
      </c>
      <c r="K31" s="99">
        <f>IFERROR(__xludf.DUMMYFUNCTION("IFERROR(INDEX(SORT(FILTER(engagement!$E:$E, engagement!$A:$A=dashboard!$L$4),1,1), ROW()-2), """")"),2400.0)</f>
        <v>2400</v>
      </c>
      <c r="L31" s="95">
        <f>IFERROR(__xludf.DUMMYFUNCTION("IFERROR(INDEX(SORT(FILTER(engagement!$F:$F, engagement!$A:$A=dashboard!$L$4),1,1), ROW()-2), """")"),170.0)</f>
        <v>170</v>
      </c>
    </row>
    <row r="32">
      <c r="A32" s="115" t="s">
        <v>1114</v>
      </c>
      <c r="B32" s="111">
        <f>COUNTIFS(engagement!$A:$A,"Instagram",engagement!$D:$D,$A32)</f>
        <v>2</v>
      </c>
      <c r="C32" s="99">
        <f>COUNTIFS(engagement!$A:$A,"X",engagement!$D:$D,$A32)</f>
        <v>0</v>
      </c>
      <c r="D32" s="111">
        <f>COUNTIFS(engagement!$A:$A,"LinkedIn",engagement!$D:$D,$A32)</f>
        <v>0</v>
      </c>
      <c r="E32" s="99">
        <f>COUNTIFS(engagement!$A:$A,"ArtStation",engagement!$D:$D,$A32)</f>
        <v>0</v>
      </c>
      <c r="J32" s="101" t="str">
        <f>IFERROR(__xludf.DUMMYFUNCTION("IFERROR(TEXT(INDEX(SORT(FILTER(engagement!$C:$C, engagement!$A:$A=dashboard!$L$4),1,1), ROW()-2), ""YYYY-MM-DD""), """")"),"2025-04-01")</f>
        <v>2025-04-01</v>
      </c>
      <c r="K32" s="99">
        <f>IFERROR(__xludf.DUMMYFUNCTION("IFERROR(INDEX(SORT(FILTER(engagement!$E:$E, engagement!$A:$A=dashboard!$L$4),1,1), ROW()-2), """")"),2500.0)</f>
        <v>2500</v>
      </c>
      <c r="L32" s="95">
        <f>IFERROR(__xludf.DUMMYFUNCTION("IFERROR(INDEX(SORT(FILTER(engagement!$F:$F, engagement!$A:$A=dashboard!$L$4),1,1), ROW()-2), """")"),174.0)</f>
        <v>174</v>
      </c>
    </row>
    <row r="33">
      <c r="A33" s="115" t="s">
        <v>1115</v>
      </c>
      <c r="B33" s="111">
        <f>COUNTIFS(engagement!$A:$A,"Instagram",engagement!$D:$D,$A33)</f>
        <v>4</v>
      </c>
      <c r="C33" s="99">
        <f>COUNTIFS(engagement!$A:$A,"X",engagement!$D:$D,$A33)</f>
        <v>0</v>
      </c>
      <c r="D33" s="111">
        <f>COUNTIFS(engagement!$A:$A,"LinkedIn",engagement!$D:$D,$A33)</f>
        <v>0</v>
      </c>
      <c r="E33" s="99">
        <f>COUNTIFS(engagement!$A:$A,"ArtStation",engagement!$D:$D,$A33)</f>
        <v>0</v>
      </c>
      <c r="J33" s="101" t="str">
        <f>IFERROR(__xludf.DUMMYFUNCTION("IFERROR(TEXT(INDEX(SORT(FILTER(engagement!$C:$C, engagement!$A:$A=dashboard!$L$4),1,1), ROW()-2), ""YYYY-MM-DD""), """")"),"2025-04-02")</f>
        <v>2025-04-02</v>
      </c>
      <c r="K33" s="99">
        <f>IFERROR(__xludf.DUMMYFUNCTION("IFERROR(INDEX(SORT(FILTER(engagement!$E:$E, engagement!$A:$A=dashboard!$L$4),1,1), ROW()-2), """")"),2600.0)</f>
        <v>2600</v>
      </c>
      <c r="L33" s="95">
        <f>IFERROR(__xludf.DUMMYFUNCTION("IFERROR(INDEX(SORT(FILTER(engagement!$F:$F, engagement!$A:$A=dashboard!$L$4),1,1), ROW()-2), """")"),181.0)</f>
        <v>181</v>
      </c>
    </row>
    <row r="34">
      <c r="A34" s="115" t="s">
        <v>1116</v>
      </c>
      <c r="B34" s="111">
        <f>COUNTIFS(engagement!$A:$A,"Instagram",engagement!$D:$D,$A34)</f>
        <v>1</v>
      </c>
      <c r="C34" s="99">
        <f>COUNTIFS(engagement!$A:$A,"X",engagement!$D:$D,$A34)</f>
        <v>0</v>
      </c>
      <c r="D34" s="111">
        <f>COUNTIFS(engagement!$A:$A,"LinkedIn",engagement!$D:$D,$A34)</f>
        <v>0</v>
      </c>
      <c r="E34" s="99">
        <f>COUNTIFS(engagement!$A:$A,"ArtStation",engagement!$D:$D,$A34)</f>
        <v>0</v>
      </c>
      <c r="J34" s="101" t="str">
        <f>IFERROR(__xludf.DUMMYFUNCTION("IFERROR(TEXT(INDEX(SORT(FILTER(engagement!$C:$C, engagement!$A:$A=dashboard!$L$4),1,1), ROW()-2), ""YYYY-MM-DD""), """")"),"2025-04-02")</f>
        <v>2025-04-02</v>
      </c>
      <c r="K34" s="99">
        <f>IFERROR(__xludf.DUMMYFUNCTION("IFERROR(INDEX(SORT(FILTER(engagement!$E:$E, engagement!$A:$A=dashboard!$L$4),1,1), ROW()-2), """")"),2800.0)</f>
        <v>2800</v>
      </c>
      <c r="L34" s="95">
        <f>IFERROR(__xludf.DUMMYFUNCTION("IFERROR(INDEX(SORT(FILTER(engagement!$F:$F, engagement!$A:$A=dashboard!$L$4),1,1), ROW()-2), """")"),181.0)</f>
        <v>181</v>
      </c>
    </row>
    <row r="35">
      <c r="A35" s="115" t="s">
        <v>1117</v>
      </c>
      <c r="B35" s="111">
        <f>COUNTIFS(engagement!$A:$A,"Instagram",engagement!$D:$D,$A35)</f>
        <v>3</v>
      </c>
      <c r="C35" s="99">
        <f>COUNTIFS(engagement!$A:$A,"X",engagement!$D:$D,$A35)</f>
        <v>0</v>
      </c>
      <c r="D35" s="111">
        <f>COUNTIFS(engagement!$A:$A,"LinkedIn",engagement!$D:$D,$A35)</f>
        <v>0</v>
      </c>
      <c r="E35" s="99">
        <f>COUNTIFS(engagement!$A:$A,"ArtStation",engagement!$D:$D,$A35)</f>
        <v>2</v>
      </c>
      <c r="J35" s="101" t="str">
        <f>IFERROR(__xludf.DUMMYFUNCTION("IFERROR(TEXT(INDEX(SORT(FILTER(engagement!$C:$C, engagement!$A:$A=dashboard!$L$4),1,1), ROW()-2), ""YYYY-MM-DD""), """")"),"2025-04-03")</f>
        <v>2025-04-03</v>
      </c>
      <c r="K35" s="99">
        <f>IFERROR(__xludf.DUMMYFUNCTION("IFERROR(INDEX(SORT(FILTER(engagement!$E:$E, engagement!$A:$A=dashboard!$L$4),1,1), ROW()-2), """")"),2800.0)</f>
        <v>2800</v>
      </c>
      <c r="L35" s="95">
        <f>IFERROR(__xludf.DUMMYFUNCTION("IFERROR(INDEX(SORT(FILTER(engagement!$F:$F, engagement!$A:$A=dashboard!$L$4),1,1), ROW()-2), """")"),188.0)</f>
        <v>188</v>
      </c>
    </row>
    <row r="36">
      <c r="A36" s="115" t="s">
        <v>1118</v>
      </c>
      <c r="B36" s="111">
        <f>COUNTIFS(engagement!$A:$A,"Instagram",engagement!$D:$D,$A36)</f>
        <v>29</v>
      </c>
      <c r="C36" s="99">
        <f>COUNTIFS(engagement!$A:$A,"X",engagement!$D:$D,$A36)</f>
        <v>0</v>
      </c>
      <c r="D36" s="111">
        <f>COUNTIFS(engagement!$A:$A,"LinkedIn",engagement!$D:$D,$A36)</f>
        <v>0</v>
      </c>
      <c r="E36" s="99">
        <f>COUNTIFS(engagement!$A:$A,"ArtStation",engagement!$D:$D,$A36)</f>
        <v>20</v>
      </c>
      <c r="J36" s="101" t="str">
        <f>IFERROR(__xludf.DUMMYFUNCTION("IFERROR(TEXT(INDEX(SORT(FILTER(engagement!$C:$C, engagement!$A:$A=dashboard!$L$4),1,1), ROW()-2), ""YYYY-MM-DD""), """")"),"2025-04-03")</f>
        <v>2025-04-03</v>
      </c>
      <c r="K36" s="99">
        <f>IFERROR(__xludf.DUMMYFUNCTION("IFERROR(INDEX(SORT(FILTER(engagement!$E:$E, engagement!$A:$A=dashboard!$L$4),1,1), ROW()-2), """")"),2900.0)</f>
        <v>2900</v>
      </c>
      <c r="L36" s="95">
        <f>IFERROR(__xludf.DUMMYFUNCTION("IFERROR(INDEX(SORT(FILTER(engagement!$F:$F, engagement!$A:$A=dashboard!$L$4),1,1), ROW()-2), """")"),217.0)</f>
        <v>217</v>
      </c>
    </row>
    <row r="37">
      <c r="A37" s="115" t="s">
        <v>1119</v>
      </c>
      <c r="B37" s="111">
        <f>COUNTIFS(engagement!$A:$A,"Instagram",engagement!$D:$D,$A37)</f>
        <v>13</v>
      </c>
      <c r="C37" s="99">
        <f>COUNTIFS(engagement!$A:$A,"X",engagement!$D:$D,$A37)</f>
        <v>0</v>
      </c>
      <c r="D37" s="111">
        <f>COUNTIFS(engagement!$A:$A,"LinkedIn",engagement!$D:$D,$A37)</f>
        <v>0</v>
      </c>
      <c r="E37" s="99">
        <f>COUNTIFS(engagement!$A:$A,"ArtStation",engagement!$D:$D,$A37)</f>
        <v>16</v>
      </c>
      <c r="J37" s="101" t="str">
        <f>IFERROR(__xludf.DUMMYFUNCTION("IFERROR(TEXT(INDEX(SORT(FILTER(engagement!$C:$C, engagement!$A:$A=dashboard!$L$4),1,1), ROW()-2), ""YYYY-MM-DD""), """")"),"2025-04-04")</f>
        <v>2025-04-04</v>
      </c>
      <c r="K37" s="99">
        <f>IFERROR(__xludf.DUMMYFUNCTION("IFERROR(INDEX(SORT(FILTER(engagement!$E:$E, engagement!$A:$A=dashboard!$L$4),1,1), ROW()-2), """")"),3000.0)</f>
        <v>3000</v>
      </c>
      <c r="L37" s="95">
        <f>IFERROR(__xludf.DUMMYFUNCTION("IFERROR(INDEX(SORT(FILTER(engagement!$F:$F, engagement!$A:$A=dashboard!$L$4),1,1), ROW()-2), """")"),269.0)</f>
        <v>269</v>
      </c>
    </row>
    <row r="38">
      <c r="A38" s="115" t="s">
        <v>1120</v>
      </c>
      <c r="B38" s="111">
        <f>COUNTIFS(engagement!$A:$A,"Instagram",engagement!$D:$D,$A38)</f>
        <v>0</v>
      </c>
      <c r="C38" s="99">
        <f>COUNTIFS(engagement!$A:$A,"X",engagement!$D:$D,$A38)</f>
        <v>0</v>
      </c>
      <c r="D38" s="111">
        <f>COUNTIFS(engagement!$A:$A,"LinkedIn",engagement!$D:$D,$A38)</f>
        <v>0</v>
      </c>
      <c r="E38" s="99">
        <f>COUNTIFS(engagement!$A:$A,"ArtStation",engagement!$D:$D,$A38)</f>
        <v>3</v>
      </c>
      <c r="J38" s="101" t="str">
        <f>IFERROR(__xludf.DUMMYFUNCTION("IFERROR(TEXT(INDEX(SORT(FILTER(engagement!$C:$C, engagement!$A:$A=dashboard!$L$4),1,1), ROW()-2), ""YYYY-MM-DD""), """")"),"2025-04-04")</f>
        <v>2025-04-04</v>
      </c>
      <c r="K38" s="99">
        <f>IFERROR(__xludf.DUMMYFUNCTION("IFERROR(INDEX(SORT(FILTER(engagement!$E:$E, engagement!$A:$A=dashboard!$L$4),1,1), ROW()-2), """")"),3400.0)</f>
        <v>3400</v>
      </c>
      <c r="L38" s="95">
        <f>IFERROR(__xludf.DUMMYFUNCTION("IFERROR(INDEX(SORT(FILTER(engagement!$F:$F, engagement!$A:$A=dashboard!$L$4),1,1), ROW()-2), """")"),269.0)</f>
        <v>269</v>
      </c>
    </row>
    <row r="39">
      <c r="A39" s="115" t="s">
        <v>1121</v>
      </c>
      <c r="B39" s="111">
        <f>COUNTIFS(engagement!$A:$A,"Instagram",engagement!$D:$D,$A39)</f>
        <v>8</v>
      </c>
      <c r="C39" s="99">
        <f>COUNTIFS(engagement!$A:$A,"X",engagement!$D:$D,$A39)</f>
        <v>0</v>
      </c>
      <c r="D39" s="111">
        <f>COUNTIFS(engagement!$A:$A,"LinkedIn",engagement!$D:$D,$A39)</f>
        <v>8</v>
      </c>
      <c r="E39" s="99">
        <f>COUNTIFS(engagement!$A:$A,"ArtStation",engagement!$D:$D,$A39)</f>
        <v>4</v>
      </c>
      <c r="J39" s="101" t="str">
        <f>IFERROR(__xludf.DUMMYFUNCTION("IFERROR(TEXT(INDEX(SORT(FILTER(engagement!$C:$C, engagement!$A:$A=dashboard!$L$4),1,1), ROW()-2), ""YYYY-MM-DD""), """")"),"2025-04-08")</f>
        <v>2025-04-08</v>
      </c>
      <c r="K39" s="99">
        <f>IFERROR(__xludf.DUMMYFUNCTION("IFERROR(INDEX(SORT(FILTER(engagement!$E:$E, engagement!$A:$A=dashboard!$L$4),1,1), ROW()-2), """")"),3600.0)</f>
        <v>3600</v>
      </c>
      <c r="L39" s="95">
        <f>IFERROR(__xludf.DUMMYFUNCTION("IFERROR(INDEX(SORT(FILTER(engagement!$F:$F, engagement!$A:$A=dashboard!$L$4),1,1), ROW()-2), """")"),287.0)</f>
        <v>287</v>
      </c>
    </row>
    <row r="40">
      <c r="A40" s="115" t="s">
        <v>1122</v>
      </c>
      <c r="B40" s="111">
        <f>COUNTIFS(engagement!$A:$A,"Instagram",engagement!$D:$D,$A40)</f>
        <v>9</v>
      </c>
      <c r="C40" s="99">
        <f>COUNTIFS(engagement!$A:$A,"X",engagement!$D:$D,$A40)</f>
        <v>0</v>
      </c>
      <c r="D40" s="111">
        <f>COUNTIFS(engagement!$A:$A,"LinkedIn",engagement!$D:$D,$A40)</f>
        <v>11</v>
      </c>
      <c r="E40" s="99">
        <f>COUNTIFS(engagement!$A:$A,"ArtStation",engagement!$D:$D,$A40)</f>
        <v>6</v>
      </c>
      <c r="J40" s="101" t="str">
        <f>IFERROR(__xludf.DUMMYFUNCTION("IFERROR(TEXT(INDEX(SORT(FILTER(engagement!$C:$C, engagement!$A:$A=dashboard!$L$4),1,1), ROW()-2), ""YYYY-MM-DD""), """")"),"2025-04-10")</f>
        <v>2025-04-10</v>
      </c>
      <c r="K40" s="99">
        <f>IFERROR(__xludf.DUMMYFUNCTION("IFERROR(INDEX(SORT(FILTER(engagement!$E:$E, engagement!$A:$A=dashboard!$L$4),1,1), ROW()-2), """")"),3900.0)</f>
        <v>3900</v>
      </c>
      <c r="L40" s="95">
        <f>IFERROR(__xludf.DUMMYFUNCTION("IFERROR(INDEX(SORT(FILTER(engagement!$F:$F, engagement!$A:$A=dashboard!$L$4),1,1), ROW()-2), """")"),292.0)</f>
        <v>292</v>
      </c>
    </row>
    <row r="41">
      <c r="A41" s="115" t="s">
        <v>1123</v>
      </c>
      <c r="B41" s="111">
        <f>COUNTIFS(engagement!$A:$A,"Instagram",engagement!$D:$D,$A41)</f>
        <v>3</v>
      </c>
      <c r="C41" s="99">
        <f>COUNTIFS(engagement!$A:$A,"X",engagement!$D:$D,$A41)</f>
        <v>0</v>
      </c>
      <c r="D41" s="111">
        <f>COUNTIFS(engagement!$A:$A,"LinkedIn",engagement!$D:$D,$A41)</f>
        <v>5</v>
      </c>
      <c r="E41" s="99">
        <f>COUNTIFS(engagement!$A:$A,"ArtStation",engagement!$D:$D,$A41)</f>
        <v>0</v>
      </c>
      <c r="J41" s="101" t="str">
        <f>IFERROR(__xludf.DUMMYFUNCTION("IFERROR(TEXT(INDEX(SORT(FILTER(engagement!$C:$C, engagement!$A:$A=dashboard!$L$4),1,1), ROW()-2), ""YYYY-MM-DD""), """")"),"2025-04-15")</f>
        <v>2025-04-15</v>
      </c>
      <c r="K41" s="99">
        <f>IFERROR(__xludf.DUMMYFUNCTION("IFERROR(INDEX(SORT(FILTER(engagement!$E:$E, engagement!$A:$A=dashboard!$L$4),1,1), ROW()-2), """")"),4100.0)</f>
        <v>4100</v>
      </c>
      <c r="L41" s="95">
        <f>IFERROR(__xludf.DUMMYFUNCTION("IFERROR(INDEX(SORT(FILTER(engagement!$F:$F, engagement!$A:$A=dashboard!$L$4),1,1), ROW()-2), """")"),292.0)</f>
        <v>292</v>
      </c>
    </row>
    <row r="42">
      <c r="A42" s="115" t="s">
        <v>1124</v>
      </c>
      <c r="B42" s="111">
        <f>COUNTIFS(engagement!$A:$A,"Instagram",engagement!$D:$D,$A42)</f>
        <v>1</v>
      </c>
      <c r="C42" s="99">
        <f>COUNTIFS(engagement!$A:$A,"X",engagement!$D:$D,$A42)</f>
        <v>0</v>
      </c>
      <c r="D42" s="111">
        <f>COUNTIFS(engagement!$A:$A,"LinkedIn",engagement!$D:$D,$A42)</f>
        <v>2</v>
      </c>
      <c r="E42" s="99">
        <f>COUNTIFS(engagement!$A:$A,"ArtStation",engagement!$D:$D,$A42)</f>
        <v>0</v>
      </c>
      <c r="J42" s="101" t="str">
        <f>IFERROR(__xludf.DUMMYFUNCTION("IFERROR(TEXT(INDEX(SORT(FILTER(engagement!$C:$C, engagement!$A:$A=dashboard!$L$4),1,1), ROW()-2), ""YYYY-MM-DD""), """")"),"2025-04-17")</f>
        <v>2025-04-17</v>
      </c>
      <c r="K42" s="99">
        <f>IFERROR(__xludf.DUMMYFUNCTION("IFERROR(INDEX(SORT(FILTER(engagement!$E:$E, engagement!$A:$A=dashboard!$L$4),1,1), ROW()-2), """")"),4100.0)</f>
        <v>4100</v>
      </c>
      <c r="L42" s="95">
        <f>IFERROR(__xludf.DUMMYFUNCTION("IFERROR(INDEX(SORT(FILTER(engagement!$F:$F, engagement!$A:$A=dashboard!$L$4),1,1), ROW()-2), """")"),303.0)</f>
        <v>303</v>
      </c>
    </row>
    <row r="43">
      <c r="A43" s="115" t="s">
        <v>1125</v>
      </c>
      <c r="B43" s="111">
        <f>COUNTIFS(engagement!$A:$A,"Instagram",engagement!$D:$D,$A43)</f>
        <v>4</v>
      </c>
      <c r="C43" s="99">
        <f>COUNTIFS(engagement!$A:$A,"X",engagement!$D:$D,$A43)</f>
        <v>0</v>
      </c>
      <c r="D43" s="111">
        <f>COUNTIFS(engagement!$A:$A,"LinkedIn",engagement!$D:$D,$A43)</f>
        <v>6</v>
      </c>
      <c r="E43" s="99">
        <f>COUNTIFS(engagement!$A:$A,"ArtStation",engagement!$D:$D,$A43)</f>
        <v>0</v>
      </c>
      <c r="J43" s="101" t="str">
        <f>IFERROR(__xludf.DUMMYFUNCTION("IFERROR(TEXT(INDEX(SORT(FILTER(engagement!$C:$C, engagement!$A:$A=dashboard!$L$4),1,1), ROW()-2), ""YYYY-MM-DD""), """")"),"2025-04-21")</f>
        <v>2025-04-21</v>
      </c>
      <c r="K43" s="99">
        <f>IFERROR(__xludf.DUMMYFUNCTION("IFERROR(INDEX(SORT(FILTER(engagement!$E:$E, engagement!$A:$A=dashboard!$L$4),1,1), ROW()-2), """")"),4200.0)</f>
        <v>4200</v>
      </c>
      <c r="L43" s="95">
        <f>IFERROR(__xludf.DUMMYFUNCTION("IFERROR(INDEX(SORT(FILTER(engagement!$F:$F, engagement!$A:$A=dashboard!$L$4),1,1), ROW()-2), """")"),306.0)</f>
        <v>306</v>
      </c>
    </row>
    <row r="44">
      <c r="A44" s="115" t="s">
        <v>1126</v>
      </c>
      <c r="B44" s="111">
        <f>COUNTIFS(engagement!$A:$A,"Instagram",engagement!$D:$D,$A44)</f>
        <v>2</v>
      </c>
      <c r="C44" s="99">
        <f>COUNTIFS(engagement!$A:$A,"X",engagement!$D:$D,$A44)</f>
        <v>0</v>
      </c>
      <c r="D44" s="111">
        <f>COUNTIFS(engagement!$A:$A,"LinkedIn",engagement!$D:$D,$A44)</f>
        <v>4</v>
      </c>
      <c r="E44" s="99">
        <f>COUNTIFS(engagement!$A:$A,"ArtStation",engagement!$D:$D,$A44)</f>
        <v>0</v>
      </c>
      <c r="J44" s="101" t="str">
        <f>IFERROR(__xludf.DUMMYFUNCTION("IFERROR(TEXT(INDEX(SORT(FILTER(engagement!$C:$C, engagement!$A:$A=dashboard!$L$4),1,1), ROW()-2), ""YYYY-MM-DD""), """")"),"2025-04-21")</f>
        <v>2025-04-21</v>
      </c>
      <c r="K44" s="99">
        <f>IFERROR(__xludf.DUMMYFUNCTION("IFERROR(INDEX(SORT(FILTER(engagement!$E:$E, engagement!$A:$A=dashboard!$L$4),1,1), ROW()-2), """")"),4300.0)</f>
        <v>4300</v>
      </c>
      <c r="L44" s="95">
        <f>IFERROR(__xludf.DUMMYFUNCTION("IFERROR(INDEX(SORT(FILTER(engagement!$F:$F, engagement!$A:$A=dashboard!$L$4),1,1), ROW()-2), """")"),351.0)</f>
        <v>351</v>
      </c>
    </row>
    <row r="45">
      <c r="A45" s="115" t="s">
        <v>1127</v>
      </c>
      <c r="B45" s="111">
        <f>COUNTIFS(engagement!$A:$A,"Instagram",engagement!$D:$D,$A45)</f>
        <v>1</v>
      </c>
      <c r="C45" s="99">
        <f>COUNTIFS(engagement!$A:$A,"X",engagement!$D:$D,$A45)</f>
        <v>0</v>
      </c>
      <c r="D45" s="111">
        <f>COUNTIFS(engagement!$A:$A,"LinkedIn",engagement!$D:$D,$A45)</f>
        <v>1</v>
      </c>
      <c r="E45" s="99">
        <f>COUNTIFS(engagement!$A:$A,"ArtStation",engagement!$D:$D,$A45)</f>
        <v>0</v>
      </c>
      <c r="J45" s="101" t="str">
        <f>IFERROR(__xludf.DUMMYFUNCTION("IFERROR(TEXT(INDEX(SORT(FILTER(engagement!$C:$C, engagement!$A:$A=dashboard!$L$4),1,1), ROW()-2), ""YYYY-MM-DD""), """")"),"2025-04-21")</f>
        <v>2025-04-21</v>
      </c>
      <c r="K45" s="99">
        <f>IFERROR(__xludf.DUMMYFUNCTION("IFERROR(INDEX(SORT(FILTER(engagement!$E:$E, engagement!$A:$A=dashboard!$L$4),1,1), ROW()-2), """")"),4300.0)</f>
        <v>4300</v>
      </c>
      <c r="L45" s="95">
        <f>IFERROR(__xludf.DUMMYFUNCTION("IFERROR(INDEX(SORT(FILTER(engagement!$F:$F, engagement!$A:$A=dashboard!$L$4),1,1), ROW()-2), """")"),388.0)</f>
        <v>388</v>
      </c>
    </row>
    <row r="46">
      <c r="A46" s="115" t="s">
        <v>1128</v>
      </c>
      <c r="B46" s="111">
        <f>COUNTIFS(engagement!$A:$A,"Instagram",engagement!$D:$D,$A46)</f>
        <v>2</v>
      </c>
      <c r="C46" s="99">
        <f>COUNTIFS(engagement!$A:$A,"X",engagement!$D:$D,$A46)</f>
        <v>0</v>
      </c>
      <c r="D46" s="111">
        <f>COUNTIFS(engagement!$A:$A,"LinkedIn",engagement!$D:$D,$A46)</f>
        <v>4</v>
      </c>
      <c r="E46" s="99">
        <f>COUNTIFS(engagement!$A:$A,"ArtStation",engagement!$D:$D,$A46)</f>
        <v>1</v>
      </c>
      <c r="J46" s="101" t="str">
        <f>IFERROR(__xludf.DUMMYFUNCTION("IFERROR(TEXT(INDEX(SORT(FILTER(engagement!$C:$C, engagement!$A:$A=dashboard!$L$4),1,1), ROW()-2), ""YYYY-MM-DD""), """")"),"2025-06-12")</f>
        <v>2025-06-12</v>
      </c>
      <c r="K46" s="99">
        <f>IFERROR(__xludf.DUMMYFUNCTION("IFERROR(INDEX(SORT(FILTER(engagement!$E:$E, engagement!$A:$A=dashboard!$L$4),1,1), ROW()-2), """")"),4400.0)</f>
        <v>4400</v>
      </c>
      <c r="L46" s="95">
        <f>IFERROR(__xludf.DUMMYFUNCTION("IFERROR(INDEX(SORT(FILTER(engagement!$F:$F, engagement!$A:$A=dashboard!$L$4),1,1), ROW()-2), """")"),400.0)</f>
        <v>400</v>
      </c>
    </row>
    <row r="47">
      <c r="A47" s="115" t="s">
        <v>1129</v>
      </c>
      <c r="B47" s="111">
        <f>COUNTIFS(engagement!$A:$A,"Instagram",engagement!$D:$D,$A47)</f>
        <v>3</v>
      </c>
      <c r="C47" s="99">
        <f>COUNTIFS(engagement!$A:$A,"X",engagement!$D:$D,$A47)</f>
        <v>0</v>
      </c>
      <c r="D47" s="111">
        <f>COUNTIFS(engagement!$A:$A,"LinkedIn",engagement!$D:$D,$A47)</f>
        <v>6</v>
      </c>
      <c r="E47" s="99">
        <f>COUNTIFS(engagement!$A:$A,"ArtStation",engagement!$D:$D,$A47)</f>
        <v>2</v>
      </c>
      <c r="J47" s="101" t="str">
        <f>IFERROR(__xludf.DUMMYFUNCTION("IFERROR(TEXT(INDEX(SORT(FILTER(engagement!$C:$C, engagement!$A:$A=dashboard!$L$4),1,1), ROW()-2), ""YYYY-MM-DD""), """")"),"2025-06-12")</f>
        <v>2025-06-12</v>
      </c>
      <c r="K47" s="99">
        <f>IFERROR(__xludf.DUMMYFUNCTION("IFERROR(INDEX(SORT(FILTER(engagement!$E:$E, engagement!$A:$A=dashboard!$L$4),1,1), ROW()-2), """")"),5100.0)</f>
        <v>5100</v>
      </c>
      <c r="L47" s="95">
        <f>IFERROR(__xludf.DUMMYFUNCTION("IFERROR(INDEX(SORT(FILTER(engagement!$F:$F, engagement!$A:$A=dashboard!$L$4),1,1), ROW()-2), """")"),456.0)</f>
        <v>456</v>
      </c>
    </row>
    <row r="48">
      <c r="A48" s="115" t="s">
        <v>1130</v>
      </c>
      <c r="B48" s="111">
        <f>COUNTIFS(engagement!$A:$A,"Instagram",engagement!$D:$D,$A48)</f>
        <v>2</v>
      </c>
      <c r="C48" s="99">
        <f>COUNTIFS(engagement!$A:$A,"X",engagement!$D:$D,$A48)</f>
        <v>0</v>
      </c>
      <c r="D48" s="111">
        <f>COUNTIFS(engagement!$A:$A,"LinkedIn",engagement!$D:$D,$A48)</f>
        <v>4</v>
      </c>
      <c r="E48" s="99">
        <f>COUNTIFS(engagement!$A:$A,"ArtStation",engagement!$D:$D,$A48)</f>
        <v>2</v>
      </c>
      <c r="J48" s="101" t="str">
        <f>IFERROR(__xludf.DUMMYFUNCTION("IFERROR(TEXT(INDEX(SORT(FILTER(engagement!$C:$C, engagement!$A:$A=dashboard!$L$4),1,1), ROW()-2), ""YYYY-MM-DD""), """")"),"2025-06-12")</f>
        <v>2025-06-12</v>
      </c>
      <c r="K48" s="99">
        <f>IFERROR(__xludf.DUMMYFUNCTION("IFERROR(INDEX(SORT(FILTER(engagement!$E:$E, engagement!$A:$A=dashboard!$L$4),1,1), ROW()-2), """")"),5200.0)</f>
        <v>5200</v>
      </c>
      <c r="L48" s="95">
        <f>IFERROR(__xludf.DUMMYFUNCTION("IFERROR(INDEX(SORT(FILTER(engagement!$F:$F, engagement!$A:$A=dashboard!$L$4),1,1), ROW()-2), """")"),461.0)</f>
        <v>461</v>
      </c>
    </row>
    <row r="49">
      <c r="A49" s="121" t="s">
        <v>1131</v>
      </c>
      <c r="B49" s="119">
        <f>COUNTIFS(engagement!$A:$A,"Instagram",engagement!$D:$D,$A49)</f>
        <v>0</v>
      </c>
      <c r="C49" s="103">
        <f>COUNTIFS(engagement!$A:$A,"X",engagement!$D:$D,$A49)</f>
        <v>0</v>
      </c>
      <c r="D49" s="119">
        <f>COUNTIFS(engagement!$A:$A,"LinkedIn",engagement!$D:$D,$A49)</f>
        <v>2</v>
      </c>
      <c r="E49" s="103">
        <f>COUNTIFS(engagement!$A:$A,"ArtStation",engagement!$D:$D,$A49)</f>
        <v>0</v>
      </c>
      <c r="J49" s="101" t="str">
        <f>IFERROR(__xludf.DUMMYFUNCTION("IFERROR(TEXT(INDEX(SORT(FILTER(engagement!$C:$C, engagement!$A:$A=dashboard!$L$4),1,1), ROW()-2), ""YYYY-MM-DD""), """")"),"2025-07-24")</f>
        <v>2025-07-24</v>
      </c>
      <c r="K49" s="99">
        <f>IFERROR(__xludf.DUMMYFUNCTION("IFERROR(INDEX(SORT(FILTER(engagement!$E:$E, engagement!$A:$A=dashboard!$L$4),1,1), ROW()-2), """")"),5300.0)</f>
        <v>5300</v>
      </c>
      <c r="L49" s="95">
        <f>IFERROR(__xludf.DUMMYFUNCTION("IFERROR(INDEX(SORT(FILTER(engagement!$F:$F, engagement!$A:$A=dashboard!$L$4),1,1), ROW()-2), """")"),560.0)</f>
        <v>560</v>
      </c>
    </row>
    <row r="50">
      <c r="J50" s="101" t="str">
        <f>IFERROR(__xludf.DUMMYFUNCTION("IFERROR(TEXT(INDEX(SORT(FILTER(engagement!$C:$C, engagement!$A:$A=dashboard!$L$4),1,1), ROW()-2), ""YYYY-MM-DD""), """")"),"2025-07-31")</f>
        <v>2025-07-31</v>
      </c>
      <c r="K50" s="99">
        <f>IFERROR(__xludf.DUMMYFUNCTION("IFERROR(INDEX(SORT(FILTER(engagement!$E:$E, engagement!$A:$A=dashboard!$L$4),1,1), ROW()-2), """")"),5400.0)</f>
        <v>5400</v>
      </c>
      <c r="L50" s="95">
        <f>IFERROR(__xludf.DUMMYFUNCTION("IFERROR(INDEX(SORT(FILTER(engagement!$F:$F, engagement!$A:$A=dashboard!$L$4),1,1), ROW()-2), """")"),567.0)</f>
        <v>567</v>
      </c>
    </row>
    <row r="51">
      <c r="J51" s="101" t="str">
        <f>IFERROR(__xludf.DUMMYFUNCTION("IFERROR(TEXT(INDEX(SORT(FILTER(engagement!$C:$C, engagement!$A:$A=dashboard!$L$4),1,1), ROW()-2), ""YYYY-MM-DD""), """")"),"2025-07-31")</f>
        <v>2025-07-31</v>
      </c>
      <c r="K51" s="99">
        <f>IFERROR(__xludf.DUMMYFUNCTION("IFERROR(INDEX(SORT(FILTER(engagement!$E:$E, engagement!$A:$A=dashboard!$L$4),1,1), ROW()-2), """")"),5600.0)</f>
        <v>5600</v>
      </c>
      <c r="L51" s="95">
        <f>IFERROR(__xludf.DUMMYFUNCTION("IFERROR(INDEX(SORT(FILTER(engagement!$F:$F, engagement!$A:$A=dashboard!$L$4),1,1), ROW()-2), """")"),577.0)</f>
        <v>577</v>
      </c>
    </row>
    <row r="52">
      <c r="A52" s="122" t="s">
        <v>1132</v>
      </c>
      <c r="J52" s="101" t="str">
        <f>IFERROR(__xludf.DUMMYFUNCTION("IFERROR(TEXT(INDEX(SORT(FILTER(engagement!$C:$C, engagement!$A:$A=dashboard!$L$4),1,1), ROW()-2), ""YYYY-MM-DD""), """")"),"2025-07-31")</f>
        <v>2025-07-31</v>
      </c>
      <c r="K52" s="99">
        <f>IFERROR(__xludf.DUMMYFUNCTION("IFERROR(INDEX(SORT(FILTER(engagement!$E:$E, engagement!$A:$A=dashboard!$L$4),1,1), ROW()-2), """")"),5600.0)</f>
        <v>5600</v>
      </c>
      <c r="L52" s="95">
        <f>IFERROR(__xludf.DUMMYFUNCTION("IFERROR(INDEX(SORT(FILTER(engagement!$F:$F, engagement!$A:$A=dashboard!$L$4),1,1), ROW()-2), """")"),580.0)</f>
        <v>580</v>
      </c>
    </row>
    <row r="53">
      <c r="A53" s="123" t="s">
        <v>1073</v>
      </c>
      <c r="B53" s="123" t="s">
        <v>5</v>
      </c>
      <c r="C53" s="123" t="s">
        <v>13</v>
      </c>
      <c r="D53" s="123" t="s">
        <v>9</v>
      </c>
      <c r="E53" s="123" t="s">
        <v>17</v>
      </c>
      <c r="J53" s="101" t="str">
        <f>IFERROR(__xludf.DUMMYFUNCTION("IFERROR(TEXT(INDEX(SORT(FILTER(engagement!$C:$C, engagement!$A:$A=dashboard!$L$4),1,1), ROW()-2), ""YYYY-MM-DD""), """")"),"2025-08-01")</f>
        <v>2025-08-01</v>
      </c>
      <c r="K53" s="99">
        <f>IFERROR(__xludf.DUMMYFUNCTION("IFERROR(INDEX(SORT(FILTER(engagement!$E:$E, engagement!$A:$A=dashboard!$L$4),1,1), ROW()-2), """")"),6600.0)</f>
        <v>6600</v>
      </c>
      <c r="L53" s="95">
        <f>IFERROR(__xludf.DUMMYFUNCTION("IFERROR(INDEX(SORT(FILTER(engagement!$F:$F, engagement!$A:$A=dashboard!$L$4),1,1), ROW()-2), """")"),585.0)</f>
        <v>585</v>
      </c>
    </row>
    <row r="54">
      <c r="A54" s="124" t="s">
        <v>1126</v>
      </c>
      <c r="B54" s="94">
        <f>IFERROR(ROUND(AVERAGEIFS(engagement!$I:$I,engagement!$A:$A,"Instagram",engagement!$D:$D,$A54),2),"N/A")</f>
        <v>4.03</v>
      </c>
      <c r="C54" s="94" t="str">
        <f>IFERROR(ROUND(AVERAGEIFS(engagement!$I:$I,engagement!$A:$A,"X",engagement!$D:$D,$A54),2),"N/A")</f>
        <v>N/A</v>
      </c>
      <c r="D54" s="94">
        <f>IFERROR(ROUND(AVERAGEIFS(engagement!$I:$I,engagement!$A:$A,"LinkedIn",engagement!$D:$D,$A54),2),"N/A")</f>
        <v>1.73</v>
      </c>
      <c r="E54" s="94" t="str">
        <f>IFERROR(ROUND(AVERAGEIFS(engagement!$I:$I,engagement!$A:$A,"ArtStation",engagement!$D:$D,$A54),2),"N/A")</f>
        <v>N/A</v>
      </c>
      <c r="J54" s="101" t="str">
        <f>IFERROR(__xludf.DUMMYFUNCTION("IFERROR(TEXT(INDEX(SORT(FILTER(engagement!$C:$C, engagement!$A:$A=dashboard!$L$4),1,1), ROW()-2), ""YYYY-MM-DD""), """")"),"2025-08-01")</f>
        <v>2025-08-01</v>
      </c>
      <c r="K54" s="99">
        <f>IFERROR(__xludf.DUMMYFUNCTION("IFERROR(INDEX(SORT(FILTER(engagement!$E:$E, engagement!$A:$A=dashboard!$L$4),1,1), ROW()-2), """")"),7000.0)</f>
        <v>7000</v>
      </c>
      <c r="L54" s="95">
        <f>IFERROR(__xludf.DUMMYFUNCTION("IFERROR(INDEX(SORT(FILTER(engagement!$F:$F, engagement!$A:$A=dashboard!$L$4),1,1), ROW()-2), """")"),586.0)</f>
        <v>586</v>
      </c>
    </row>
    <row r="55">
      <c r="A55" s="124" t="s">
        <v>1129</v>
      </c>
      <c r="B55" s="100">
        <f>IFERROR(ROUND(AVERAGEIFS(engagement!$I:$I,engagement!$A:$A,"Instagram",engagement!$D:$D,$A55),2),"N/A")</f>
        <v>4</v>
      </c>
      <c r="C55" s="100" t="str">
        <f>IFERROR(ROUND(AVERAGEIFS(engagement!$I:$I,engagement!$A:$A,"X",engagement!$D:$D,$A55),2),"N/A")</f>
        <v>N/A</v>
      </c>
      <c r="D55" s="100">
        <f>IFERROR(ROUND(AVERAGEIFS(engagement!$I:$I,engagement!$A:$A,"LinkedIn",engagement!$D:$D,$A55),2),"N/A")</f>
        <v>3.54</v>
      </c>
      <c r="E55" s="100">
        <f>IFERROR(ROUND(AVERAGEIFS(engagement!$I:$I,engagement!$A:$A,"ArtStation",engagement!$D:$D,$A55),2),"N/A")</f>
        <v>10.13</v>
      </c>
      <c r="J55" s="101" t="str">
        <f>IFERROR(__xludf.DUMMYFUNCTION("IFERROR(TEXT(INDEX(SORT(FILTER(engagement!$C:$C, engagement!$A:$A=dashboard!$L$4),1,1), ROW()-2), ""YYYY-MM-DD""), """")"),"2025-08-07")</f>
        <v>2025-08-07</v>
      </c>
      <c r="K55" s="99">
        <f>IFERROR(__xludf.DUMMYFUNCTION("IFERROR(INDEX(SORT(FILTER(engagement!$E:$E, engagement!$A:$A=dashboard!$L$4),1,1), ROW()-2), """")"),8200.0)</f>
        <v>8200</v>
      </c>
      <c r="L55" s="95">
        <f>IFERROR(__xludf.DUMMYFUNCTION("IFERROR(INDEX(SORT(FILTER(engagement!$F:$F, engagement!$A:$A=dashboard!$L$4),1,1), ROW()-2), """")"),592.0)</f>
        <v>592</v>
      </c>
    </row>
    <row r="56">
      <c r="A56" s="124" t="s">
        <v>1125</v>
      </c>
      <c r="B56" s="100">
        <f>IFERROR(ROUND(AVERAGEIFS(engagement!$I:$I,engagement!$A:$A,"Instagram",engagement!$D:$D,$A56),2),"N/A")</f>
        <v>4.01</v>
      </c>
      <c r="C56" s="100" t="str">
        <f>IFERROR(ROUND(AVERAGEIFS(engagement!$I:$I,engagement!$A:$A,"X",engagement!$D:$D,$A56),2),"N/A")</f>
        <v>N/A</v>
      </c>
      <c r="D56" s="100">
        <f>IFERROR(ROUND(AVERAGEIFS(engagement!$I:$I,engagement!$A:$A,"LinkedIn",engagement!$D:$D,$A56),2),"N/A")</f>
        <v>2.44</v>
      </c>
      <c r="E56" s="100" t="str">
        <f>IFERROR(ROUND(AVERAGEIFS(engagement!$I:$I,engagement!$A:$A,"ArtStation",engagement!$D:$D,$A56),2),"N/A")</f>
        <v>N/A</v>
      </c>
      <c r="J56" s="101" t="str">
        <f>IFERROR(__xludf.DUMMYFUNCTION("IFERROR(TEXT(INDEX(SORT(FILTER(engagement!$C:$C, engagement!$A:$A=dashboard!$L$4),1,1), ROW()-2), ""YYYY-MM-DD""), """")"),"2025-08-07")</f>
        <v>2025-08-07</v>
      </c>
      <c r="K56" s="99">
        <f>IFERROR(__xludf.DUMMYFUNCTION("IFERROR(INDEX(SORT(FILTER(engagement!$E:$E, engagement!$A:$A=dashboard!$L$4),1,1), ROW()-2), """")"),8300.0)</f>
        <v>8300</v>
      </c>
      <c r="L56" s="95">
        <f>IFERROR(__xludf.DUMMYFUNCTION("IFERROR(INDEX(SORT(FILTER(engagement!$F:$F, engagement!$A:$A=dashboard!$L$4),1,1), ROW()-2), """")"),665.0)</f>
        <v>665</v>
      </c>
    </row>
    <row r="57">
      <c r="A57" s="124" t="s">
        <v>1130</v>
      </c>
      <c r="B57" s="100">
        <f>IFERROR(ROUND(AVERAGEIFS(engagement!$I:$I,engagement!$A:$A,"Instagram",engagement!$D:$D,$A57),2),"N/A")</f>
        <v>4.05</v>
      </c>
      <c r="C57" s="100" t="str">
        <f>IFERROR(ROUND(AVERAGEIFS(engagement!$I:$I,engagement!$A:$A,"X",engagement!$D:$D,$A57),2),"N/A")</f>
        <v>N/A</v>
      </c>
      <c r="D57" s="100">
        <f>IFERROR(ROUND(AVERAGEIFS(engagement!$I:$I,engagement!$A:$A,"LinkedIn",engagement!$D:$D,$A57),2),"N/A")</f>
        <v>2.2</v>
      </c>
      <c r="E57" s="100">
        <f>IFERROR(ROUND(AVERAGEIFS(engagement!$I:$I,engagement!$A:$A,"ArtStation",engagement!$D:$D,$A57),2),"N/A")</f>
        <v>10.48</v>
      </c>
      <c r="J57" s="101" t="str">
        <f>IFERROR(__xludf.DUMMYFUNCTION("IFERROR(TEXT(INDEX(SORT(FILTER(engagement!$C:$C, engagement!$A:$A=dashboard!$L$4),1,1), ROW()-2), ""YYYY-MM-DD""), """")"),"2025-08-07")</f>
        <v>2025-08-07</v>
      </c>
      <c r="K57" s="99">
        <f>IFERROR(__xludf.DUMMYFUNCTION("IFERROR(INDEX(SORT(FILTER(engagement!$E:$E, engagement!$A:$A=dashboard!$L$4),1,1), ROW()-2), """")"),8900.0)</f>
        <v>8900</v>
      </c>
      <c r="L57" s="95">
        <f>IFERROR(__xludf.DUMMYFUNCTION("IFERROR(INDEX(SORT(FILTER(engagement!$F:$F, engagement!$A:$A=dashboard!$L$4),1,1), ROW()-2), """")"),780.0)</f>
        <v>780</v>
      </c>
    </row>
    <row r="58">
      <c r="A58" s="124" t="s">
        <v>1128</v>
      </c>
      <c r="B58" s="100">
        <f>IFERROR(ROUND(AVERAGEIFS(engagement!$I:$I,engagement!$A:$A,"Instagram",engagement!$D:$D,$A58),2),"N/A")</f>
        <v>4.03</v>
      </c>
      <c r="C58" s="100" t="str">
        <f>IFERROR(ROUND(AVERAGEIFS(engagement!$I:$I,engagement!$A:$A,"X",engagement!$D:$D,$A58),2),"N/A")</f>
        <v>N/A</v>
      </c>
      <c r="D58" s="100">
        <f>IFERROR(ROUND(AVERAGEIFS(engagement!$I:$I,engagement!$A:$A,"LinkedIn",engagement!$D:$D,$A58),2),"N/A")</f>
        <v>3.05</v>
      </c>
      <c r="E58" s="100">
        <f>IFERROR(ROUND(AVERAGEIFS(engagement!$I:$I,engagement!$A:$A,"ArtStation",engagement!$D:$D,$A58),2),"N/A")</f>
        <v>10.12</v>
      </c>
      <c r="J58" s="101" t="str">
        <f>IFERROR(__xludf.DUMMYFUNCTION("IFERROR(TEXT(INDEX(SORT(FILTER(engagement!$C:$C, engagement!$A:$A=dashboard!$L$4),1,1), ROW()-2), ""YYYY-MM-DD""), """")"),"2025-08-07")</f>
        <v>2025-08-07</v>
      </c>
      <c r="K58" s="99">
        <f>IFERROR(__xludf.DUMMYFUNCTION("IFERROR(INDEX(SORT(FILTER(engagement!$E:$E, engagement!$A:$A=dashboard!$L$4),1,1), ROW()-2), """")"),9600.0)</f>
        <v>9600</v>
      </c>
      <c r="L58" s="95">
        <f>IFERROR(__xludf.DUMMYFUNCTION("IFERROR(INDEX(SORT(FILTER(engagement!$F:$F, engagement!$A:$A=dashboard!$L$4),1,1), ROW()-2), """")"),842.0)</f>
        <v>842</v>
      </c>
    </row>
    <row r="59">
      <c r="A59" s="124" t="s">
        <v>1122</v>
      </c>
      <c r="B59" s="100">
        <f>IFERROR(ROUND(AVERAGEIFS(engagement!$I:$I,engagement!$A:$A,"Instagram",engagement!$D:$D,$A59),2),"N/A")</f>
        <v>4</v>
      </c>
      <c r="C59" s="100" t="str">
        <f>IFERROR(ROUND(AVERAGEIFS(engagement!$I:$I,engagement!$A:$A,"X",engagement!$D:$D,$A59),2),"N/A")</f>
        <v>N/A</v>
      </c>
      <c r="D59" s="100">
        <f>IFERROR(ROUND(AVERAGEIFS(engagement!$I:$I,engagement!$A:$A,"LinkedIn",engagement!$D:$D,$A59),2),"N/A")</f>
        <v>2.87</v>
      </c>
      <c r="E59" s="100">
        <f>IFERROR(ROUND(AVERAGEIFS(engagement!$I:$I,engagement!$A:$A,"ArtStation",engagement!$D:$D,$A59),2),"N/A")</f>
        <v>7.15</v>
      </c>
      <c r="J59" s="101" t="str">
        <f>IFERROR(__xludf.DUMMYFUNCTION("IFERROR(TEXT(INDEX(SORT(FILTER(engagement!$C:$C, engagement!$A:$A=dashboard!$L$4),1,1), ROW()-2), ""YYYY-MM-DD""), """")"),"2026-02-06")</f>
        <v>2026-02-06</v>
      </c>
      <c r="K59" s="99">
        <f>IFERROR(__xludf.DUMMYFUNCTION("IFERROR(INDEX(SORT(FILTER(engagement!$E:$E, engagement!$A:$A=dashboard!$L$4),1,1), ROW()-2), """")"),13100.0)</f>
        <v>13100</v>
      </c>
      <c r="L59" s="95">
        <f>IFERROR(__xludf.DUMMYFUNCTION("IFERROR(INDEX(SORT(FILTER(engagement!$F:$F, engagement!$A:$A=dashboard!$L$4),1,1), ROW()-2), """")"),843.0)</f>
        <v>843</v>
      </c>
    </row>
    <row r="60">
      <c r="A60" s="124" t="s">
        <v>1123</v>
      </c>
      <c r="B60" s="100">
        <f>IFERROR(ROUND(AVERAGEIFS(engagement!$I:$I,engagement!$A:$A,"Instagram",engagement!$D:$D,$A60),2),"N/A")</f>
        <v>4.01</v>
      </c>
      <c r="C60" s="100" t="str">
        <f>IFERROR(ROUND(AVERAGEIFS(engagement!$I:$I,engagement!$A:$A,"X",engagement!$D:$D,$A60),2),"N/A")</f>
        <v>N/A</v>
      </c>
      <c r="D60" s="100">
        <f>IFERROR(ROUND(AVERAGEIFS(engagement!$I:$I,engagement!$A:$A,"LinkedIn",engagement!$D:$D,$A60),2),"N/A")</f>
        <v>5.35</v>
      </c>
      <c r="E60" s="100" t="str">
        <f>IFERROR(ROUND(AVERAGEIFS(engagement!$I:$I,engagement!$A:$A,"ArtStation",engagement!$D:$D,$A60),2),"N/A")</f>
        <v>N/A</v>
      </c>
      <c r="J60" s="101" t="str">
        <f>IFERROR(__xludf.DUMMYFUNCTION("IFERROR(TEXT(INDEX(SORT(FILTER(engagement!$C:$C, engagement!$A:$A=dashboard!$L$4),1,1), ROW()-2), ""YYYY-MM-DD""), """")"),"2026-03-30")</f>
        <v>2026-03-30</v>
      </c>
      <c r="K60" s="99">
        <f>IFERROR(__xludf.DUMMYFUNCTION("IFERROR(INDEX(SORT(FILTER(engagement!$E:$E, engagement!$A:$A=dashboard!$L$4),1,1), ROW()-2), """")"),14300.0)</f>
        <v>14300</v>
      </c>
      <c r="L60" s="95">
        <f>IFERROR(__xludf.DUMMYFUNCTION("IFERROR(INDEX(SORT(FILTER(engagement!$F:$F, engagement!$A:$A=dashboard!$L$4),1,1), ROW()-2), """")"),846.0)</f>
        <v>846</v>
      </c>
    </row>
    <row r="61">
      <c r="A61" s="124" t="s">
        <v>1124</v>
      </c>
      <c r="B61" s="100">
        <f>IFERROR(ROUND(AVERAGEIFS(engagement!$I:$I,engagement!$A:$A,"Instagram",engagement!$D:$D,$A61),2),"N/A")</f>
        <v>4</v>
      </c>
      <c r="C61" s="100" t="str">
        <f>IFERROR(ROUND(AVERAGEIFS(engagement!$I:$I,engagement!$A:$A,"X",engagement!$D:$D,$A61),2),"N/A")</f>
        <v>N/A</v>
      </c>
      <c r="D61" s="100">
        <f>IFERROR(ROUND(AVERAGEIFS(engagement!$I:$I,engagement!$A:$A,"LinkedIn",engagement!$D:$D,$A61),2),"N/A")</f>
        <v>2.65</v>
      </c>
      <c r="E61" s="100" t="str">
        <f>IFERROR(ROUND(AVERAGEIFS(engagement!$I:$I,engagement!$A:$A,"ArtStation",engagement!$D:$D,$A61),2),"N/A")</f>
        <v>N/A</v>
      </c>
      <c r="J61" s="101" t="str">
        <f>IFERROR(__xludf.DUMMYFUNCTION("IFERROR(TEXT(INDEX(SORT(FILTER(engagement!$C:$C, engagement!$A:$A=dashboard!$L$4),1,1), ROW()-2), ""YYYY-MM-DD""), """")"),"2026-03-30")</f>
        <v>2026-03-30</v>
      </c>
      <c r="K61" s="99">
        <f>IFERROR(__xludf.DUMMYFUNCTION("IFERROR(INDEX(SORT(FILTER(engagement!$E:$E, engagement!$A:$A=dashboard!$L$4),1,1), ROW()-2), """")"),14800.0)</f>
        <v>14800</v>
      </c>
      <c r="L61" s="95">
        <f>IFERROR(__xludf.DUMMYFUNCTION("IFERROR(INDEX(SORT(FILTER(engagement!$F:$F, engagement!$A:$A=dashboard!$L$4),1,1), ROW()-2), """")"),2000.0)</f>
        <v>2000</v>
      </c>
    </row>
    <row r="62">
      <c r="A62" s="124" t="s">
        <v>1121</v>
      </c>
      <c r="B62" s="100">
        <f>IFERROR(ROUND(AVERAGEIFS(engagement!$I:$I,engagement!$A:$A,"Instagram",engagement!$D:$D,$A62),2),"N/A")</f>
        <v>4.03</v>
      </c>
      <c r="C62" s="100" t="str">
        <f>IFERROR(ROUND(AVERAGEIFS(engagement!$I:$I,engagement!$A:$A,"X",engagement!$D:$D,$A62),2),"N/A")</f>
        <v>N/A</v>
      </c>
      <c r="D62" s="100">
        <f>IFERROR(ROUND(AVERAGEIFS(engagement!$I:$I,engagement!$A:$A,"LinkedIn",engagement!$D:$D,$A62),2),"N/A")</f>
        <v>2.37</v>
      </c>
      <c r="E62" s="100">
        <f>IFERROR(ROUND(AVERAGEIFS(engagement!$I:$I,engagement!$A:$A,"ArtStation",engagement!$D:$D,$A62),2),"N/A")</f>
        <v>8.29</v>
      </c>
      <c r="J62" s="101" t="str">
        <f>IFERROR(__xludf.DUMMYFUNCTION("IFERROR(TEXT(INDEX(SORT(FILTER(engagement!$C:$C, engagement!$A:$A=dashboard!$L$4),1,1), ROW()-2), ""YYYY-MM-DD""), """")"),"2026-04-01")</f>
        <v>2026-04-01</v>
      </c>
      <c r="K62" s="99">
        <f>IFERROR(__xludf.DUMMYFUNCTION("IFERROR(INDEX(SORT(FILTER(engagement!$E:$E, engagement!$A:$A=dashboard!$L$4),1,1), ROW()-2), """")"),32700.0)</f>
        <v>32700</v>
      </c>
      <c r="L62" s="95">
        <f>IFERROR(__xludf.DUMMYFUNCTION("IFERROR(INDEX(SORT(FILTER(engagement!$F:$F, engagement!$A:$A=dashboard!$L$4),1,1), ROW()-2), """")"),2600.0)</f>
        <v>2600</v>
      </c>
    </row>
    <row r="63">
      <c r="A63" s="124" t="s">
        <v>1119</v>
      </c>
      <c r="B63" s="100">
        <f>IFERROR(ROUND(AVERAGEIFS(engagement!$I:$I,engagement!$A:$A,"Instagram",engagement!$D:$D,$A63),2),"N/A")</f>
        <v>4.02</v>
      </c>
      <c r="C63" s="100" t="str">
        <f>IFERROR(ROUND(AVERAGEIFS(engagement!$I:$I,engagement!$A:$A,"X",engagement!$D:$D,$A63),2),"N/A")</f>
        <v>N/A</v>
      </c>
      <c r="D63" s="100" t="str">
        <f>IFERROR(ROUND(AVERAGEIFS(engagement!$I:$I,engagement!$A:$A,"LinkedIn",engagement!$D:$D,$A63),2),"N/A")</f>
        <v>N/A</v>
      </c>
      <c r="E63" s="100">
        <f>IFERROR(ROUND(AVERAGEIFS(engagement!$I:$I,engagement!$A:$A,"ArtStation",engagement!$D:$D,$A63),2),"N/A")</f>
        <v>7.59</v>
      </c>
      <c r="J63" s="101" t="str">
        <f>IFERROR(__xludf.DUMMYFUNCTION("IFERROR(TEXT(INDEX(SORT(FILTER(engagement!$C:$C, engagement!$A:$A=dashboard!$L$4),1,1), ROW()-2), ""YYYY-MM-DD""), """")"),"2026-04-01")</f>
        <v>2026-04-01</v>
      </c>
      <c r="K63" s="99">
        <f>IFERROR(__xludf.DUMMYFUNCTION("IFERROR(INDEX(SORT(FILTER(engagement!$E:$E, engagement!$A:$A=dashboard!$L$4),1,1), ROW()-2), """")"),36800.0)</f>
        <v>36800</v>
      </c>
      <c r="L63" s="95">
        <f>IFERROR(__xludf.DUMMYFUNCTION("IFERROR(INDEX(SORT(FILTER(engagement!$F:$F, engagement!$A:$A=dashboard!$L$4),1,1), ROW()-2), """")"),8600.0)</f>
        <v>8600</v>
      </c>
    </row>
    <row r="64">
      <c r="A64" s="124" t="s">
        <v>1127</v>
      </c>
      <c r="B64" s="100">
        <f>IFERROR(ROUND(AVERAGEIFS(engagement!$I:$I,engagement!$A:$A,"Instagram",engagement!$D:$D,$A64),2),"N/A")</f>
        <v>4</v>
      </c>
      <c r="C64" s="100" t="str">
        <f>IFERROR(ROUND(AVERAGEIFS(engagement!$I:$I,engagement!$A:$A,"X",engagement!$D:$D,$A64),2),"N/A")</f>
        <v>N/A</v>
      </c>
      <c r="D64" s="100">
        <f>IFERROR(ROUND(AVERAGEIFS(engagement!$I:$I,engagement!$A:$A,"LinkedIn",engagement!$D:$D,$A64),2),"N/A")</f>
        <v>3.51</v>
      </c>
      <c r="E64" s="100" t="str">
        <f>IFERROR(ROUND(AVERAGEIFS(engagement!$I:$I,engagement!$A:$A,"ArtStation",engagement!$D:$D,$A64),2),"N/A")</f>
        <v>N/A</v>
      </c>
      <c r="J64" s="101" t="str">
        <f>IFERROR(__xludf.DUMMYFUNCTION("IFERROR(TEXT(INDEX(SORT(FILTER(engagement!$C:$C, engagement!$A:$A=dashboard!$L$4),1,1), ROW()-2), ""YYYY-MM-DD""), """")"),"")</f>
        <v/>
      </c>
      <c r="K64" s="99" t="str">
        <f>IFERROR(__xludf.DUMMYFUNCTION("IFERROR(INDEX(SORT(FILTER(engagement!$E:$E, engagement!$A:$A=dashboard!$L$4),1,1), ROW()-2), """")"),"")</f>
        <v/>
      </c>
      <c r="L64" s="95" t="str">
        <f>IFERROR(__xludf.DUMMYFUNCTION("IFERROR(INDEX(SORT(FILTER(engagement!$F:$F, engagement!$A:$A=dashboard!$L$4),1,1), ROW()-2), """")"),"")</f>
        <v/>
      </c>
    </row>
    <row r="65">
      <c r="A65" s="124" t="s">
        <v>1118</v>
      </c>
      <c r="B65" s="100">
        <f>IFERROR(ROUND(AVERAGEIFS(engagement!$I:$I,engagement!$A:$A,"Instagram",engagement!$D:$D,$A65),2),"N/A")</f>
        <v>4.01</v>
      </c>
      <c r="C65" s="100" t="str">
        <f>IFERROR(ROUND(AVERAGEIFS(engagement!$I:$I,engagement!$A:$A,"X",engagement!$D:$D,$A65),2),"N/A")</f>
        <v>N/A</v>
      </c>
      <c r="D65" s="100" t="str">
        <f>IFERROR(ROUND(AVERAGEIFS(engagement!$I:$I,engagement!$A:$A,"LinkedIn",engagement!$D:$D,$A65),2),"N/A")</f>
        <v>N/A</v>
      </c>
      <c r="E65" s="100">
        <f>IFERROR(ROUND(AVERAGEIFS(engagement!$I:$I,engagement!$A:$A,"ArtStation",engagement!$D:$D,$A65),2),"N/A")</f>
        <v>6.44</v>
      </c>
      <c r="J65" s="101" t="str">
        <f>IFERROR(__xludf.DUMMYFUNCTION("IFERROR(TEXT(INDEX(SORT(FILTER(engagement!$C:$C, engagement!$A:$A=dashboard!$L$4),1,1), ROW()-2), ""YYYY-MM-DD""), """")"),"")</f>
        <v/>
      </c>
      <c r="K65" s="99" t="str">
        <f>IFERROR(__xludf.DUMMYFUNCTION("IFERROR(INDEX(SORT(FILTER(engagement!$E:$E, engagement!$A:$A=dashboard!$L$4),1,1), ROW()-2), """")"),"")</f>
        <v/>
      </c>
      <c r="L65" s="95" t="str">
        <f>IFERROR(__xludf.DUMMYFUNCTION("IFERROR(INDEX(SORT(FILTER(engagement!$F:$F, engagement!$A:$A=dashboard!$L$4),1,1), ROW()-2), """")"),"")</f>
        <v/>
      </c>
    </row>
    <row r="66">
      <c r="A66" s="124" t="s">
        <v>1117</v>
      </c>
      <c r="B66" s="100">
        <f>IFERROR(ROUND(AVERAGEIFS(engagement!$I:$I,engagement!$A:$A,"Instagram",engagement!$D:$D,$A66),2),"N/A")</f>
        <v>4.03</v>
      </c>
      <c r="C66" s="100" t="str">
        <f>IFERROR(ROUND(AVERAGEIFS(engagement!$I:$I,engagement!$A:$A,"X",engagement!$D:$D,$A66),2),"N/A")</f>
        <v>N/A</v>
      </c>
      <c r="D66" s="100" t="str">
        <f>IFERROR(ROUND(AVERAGEIFS(engagement!$I:$I,engagement!$A:$A,"LinkedIn",engagement!$D:$D,$A66),2),"N/A")</f>
        <v>N/A</v>
      </c>
      <c r="E66" s="100">
        <f>IFERROR(ROUND(AVERAGEIFS(engagement!$I:$I,engagement!$A:$A,"ArtStation",engagement!$D:$D,$A66),2),"N/A")</f>
        <v>9.3</v>
      </c>
      <c r="J66" s="101" t="str">
        <f>IFERROR(__xludf.DUMMYFUNCTION("IFERROR(TEXT(INDEX(SORT(FILTER(engagement!$C:$C, engagement!$A:$A=dashboard!$L$4),1,1), ROW()-2), ""YYYY-MM-DD""), """")"),"")</f>
        <v/>
      </c>
      <c r="K66" s="99" t="str">
        <f>IFERROR(__xludf.DUMMYFUNCTION("IFERROR(INDEX(SORT(FILTER(engagement!$E:$E, engagement!$A:$A=dashboard!$L$4),1,1), ROW()-2), """")"),"")</f>
        <v/>
      </c>
      <c r="L66" s="95" t="str">
        <f>IFERROR(__xludf.DUMMYFUNCTION("IFERROR(INDEX(SORT(FILTER(engagement!$F:$F, engagement!$A:$A=dashboard!$L$4),1,1), ROW()-2), """")"),"")</f>
        <v/>
      </c>
    </row>
    <row r="67">
      <c r="A67" s="124" t="s">
        <v>1115</v>
      </c>
      <c r="B67" s="100">
        <f>IFERROR(ROUND(AVERAGEIFS(engagement!$I:$I,engagement!$A:$A,"Instagram",engagement!$D:$D,$A67),2),"N/A")</f>
        <v>4.03</v>
      </c>
      <c r="C67" s="100" t="str">
        <f>IFERROR(ROUND(AVERAGEIFS(engagement!$I:$I,engagement!$A:$A,"X",engagement!$D:$D,$A67),2),"N/A")</f>
        <v>N/A</v>
      </c>
      <c r="D67" s="100" t="str">
        <f>IFERROR(ROUND(AVERAGEIFS(engagement!$I:$I,engagement!$A:$A,"LinkedIn",engagement!$D:$D,$A67),2),"N/A")</f>
        <v>N/A</v>
      </c>
      <c r="E67" s="100" t="str">
        <f>IFERROR(ROUND(AVERAGEIFS(engagement!$I:$I,engagement!$A:$A,"ArtStation",engagement!$D:$D,$A67),2),"N/A")</f>
        <v>N/A</v>
      </c>
      <c r="J67" s="101" t="str">
        <f>IFERROR(__xludf.DUMMYFUNCTION("IFERROR(TEXT(INDEX(SORT(FILTER(engagement!$C:$C, engagement!$A:$A=dashboard!$L$4),1,1), ROW()-2), ""YYYY-MM-DD""), """")"),"")</f>
        <v/>
      </c>
      <c r="K67" s="99" t="str">
        <f>IFERROR(__xludf.DUMMYFUNCTION("IFERROR(INDEX(SORT(FILTER(engagement!$E:$E, engagement!$A:$A=dashboard!$L$4),1,1), ROW()-2), """")"),"")</f>
        <v/>
      </c>
      <c r="L67" s="95" t="str">
        <f>IFERROR(__xludf.DUMMYFUNCTION("IFERROR(INDEX(SORT(FILTER(engagement!$F:$F, engagement!$A:$A=dashboard!$L$4),1,1), ROW()-2), """")"),"")</f>
        <v/>
      </c>
    </row>
    <row r="68">
      <c r="A68" s="124" t="s">
        <v>1116</v>
      </c>
      <c r="B68" s="100">
        <f>IFERROR(ROUND(AVERAGEIFS(engagement!$I:$I,engagement!$A:$A,"Instagram",engagement!$D:$D,$A68),2),"N/A")</f>
        <v>4.01</v>
      </c>
      <c r="C68" s="100" t="str">
        <f>IFERROR(ROUND(AVERAGEIFS(engagement!$I:$I,engagement!$A:$A,"X",engagement!$D:$D,$A68),2),"N/A")</f>
        <v>N/A</v>
      </c>
      <c r="D68" s="100" t="str">
        <f>IFERROR(ROUND(AVERAGEIFS(engagement!$I:$I,engagement!$A:$A,"LinkedIn",engagement!$D:$D,$A68),2),"N/A")</f>
        <v>N/A</v>
      </c>
      <c r="E68" s="100" t="str">
        <f>IFERROR(ROUND(AVERAGEIFS(engagement!$I:$I,engagement!$A:$A,"ArtStation",engagement!$D:$D,$A68),2),"N/A")</f>
        <v>N/A</v>
      </c>
      <c r="J68" s="101" t="str">
        <f>IFERROR(__xludf.DUMMYFUNCTION("IFERROR(TEXT(INDEX(SORT(FILTER(engagement!$C:$C, engagement!$A:$A=dashboard!$L$4),1,1), ROW()-2), ""YYYY-MM-DD""), """")"),"")</f>
        <v/>
      </c>
      <c r="K68" s="99" t="str">
        <f>IFERROR(__xludf.DUMMYFUNCTION("IFERROR(INDEX(SORT(FILTER(engagement!$E:$E, engagement!$A:$A=dashboard!$L$4),1,1), ROW()-2), """")"),"")</f>
        <v/>
      </c>
      <c r="L68" s="95" t="str">
        <f>IFERROR(__xludf.DUMMYFUNCTION("IFERROR(INDEX(SORT(FILTER(engagement!$F:$F, engagement!$A:$A=dashboard!$L$4),1,1), ROW()-2), """")"),"")</f>
        <v/>
      </c>
    </row>
    <row r="69">
      <c r="A69" s="124" t="s">
        <v>1110</v>
      </c>
      <c r="B69" s="100">
        <f>IFERROR(ROUND(AVERAGEIFS(engagement!$I:$I,engagement!$A:$A,"Instagram",engagement!$D:$D,$A69),2),"N/A")</f>
        <v>4.07</v>
      </c>
      <c r="C69" s="100" t="str">
        <f>IFERROR(ROUND(AVERAGEIFS(engagement!$I:$I,engagement!$A:$A,"X",engagement!$D:$D,$A69),2),"N/A")</f>
        <v>N/A</v>
      </c>
      <c r="D69" s="100" t="str">
        <f>IFERROR(ROUND(AVERAGEIFS(engagement!$I:$I,engagement!$A:$A,"LinkedIn",engagement!$D:$D,$A69),2),"N/A")</f>
        <v>N/A</v>
      </c>
      <c r="E69" s="100" t="str">
        <f>IFERROR(ROUND(AVERAGEIFS(engagement!$I:$I,engagement!$A:$A,"ArtStation",engagement!$D:$D,$A69),2),"N/A")</f>
        <v>N/A</v>
      </c>
      <c r="J69" s="101" t="str">
        <f>IFERROR(__xludf.DUMMYFUNCTION("IFERROR(TEXT(INDEX(SORT(FILTER(engagement!$C:$C, engagement!$A:$A=dashboard!$L$4),1,1), ROW()-2), ""YYYY-MM-DD""), """")"),"")</f>
        <v/>
      </c>
      <c r="K69" s="99" t="str">
        <f>IFERROR(__xludf.DUMMYFUNCTION("IFERROR(INDEX(SORT(FILTER(engagement!$E:$E, engagement!$A:$A=dashboard!$L$4),1,1), ROW()-2), """")"),"")</f>
        <v/>
      </c>
      <c r="L69" s="95" t="str">
        <f>IFERROR(__xludf.DUMMYFUNCTION("IFERROR(INDEX(SORT(FILTER(engagement!$F:$F, engagement!$A:$A=dashboard!$L$4),1,1), ROW()-2), """")"),"")</f>
        <v/>
      </c>
    </row>
    <row r="70">
      <c r="A70" s="124" t="s">
        <v>1112</v>
      </c>
      <c r="B70" s="100">
        <f>IFERROR(ROUND(AVERAGEIFS(engagement!$I:$I,engagement!$A:$A,"Instagram",engagement!$D:$D,$A70),2),"N/A")</f>
        <v>4.05</v>
      </c>
      <c r="C70" s="100" t="str">
        <f>IFERROR(ROUND(AVERAGEIFS(engagement!$I:$I,engagement!$A:$A,"X",engagement!$D:$D,$A70),2),"N/A")</f>
        <v>N/A</v>
      </c>
      <c r="D70" s="100" t="str">
        <f>IFERROR(ROUND(AVERAGEIFS(engagement!$I:$I,engagement!$A:$A,"LinkedIn",engagement!$D:$D,$A70),2),"N/A")</f>
        <v>N/A</v>
      </c>
      <c r="E70" s="100" t="str">
        <f>IFERROR(ROUND(AVERAGEIFS(engagement!$I:$I,engagement!$A:$A,"ArtStation",engagement!$D:$D,$A70),2),"N/A")</f>
        <v>N/A</v>
      </c>
      <c r="J70" s="101" t="str">
        <f>IFERROR(__xludf.DUMMYFUNCTION("IFERROR(TEXT(INDEX(SORT(FILTER(engagement!$C:$C, engagement!$A:$A=dashboard!$L$4),1,1), ROW()-2), ""YYYY-MM-DD""), """")"),"")</f>
        <v/>
      </c>
      <c r="K70" s="99" t="str">
        <f>IFERROR(__xludf.DUMMYFUNCTION("IFERROR(INDEX(SORT(FILTER(engagement!$E:$E, engagement!$A:$A=dashboard!$L$4),1,1), ROW()-2), """")"),"")</f>
        <v/>
      </c>
      <c r="L70" s="95" t="str">
        <f>IFERROR(__xludf.DUMMYFUNCTION("IFERROR(INDEX(SORT(FILTER(engagement!$F:$F, engagement!$A:$A=dashboard!$L$4),1,1), ROW()-2), """")"),"")</f>
        <v/>
      </c>
    </row>
    <row r="71">
      <c r="A71" s="124" t="s">
        <v>1113</v>
      </c>
      <c r="B71" s="100">
        <f>IFERROR(ROUND(AVERAGEIFS(engagement!$I:$I,engagement!$A:$A,"Instagram",engagement!$D:$D,$A71),2),"N/A")</f>
        <v>4.04</v>
      </c>
      <c r="C71" s="100" t="str">
        <f>IFERROR(ROUND(AVERAGEIFS(engagement!$I:$I,engagement!$A:$A,"X",engagement!$D:$D,$A71),2),"N/A")</f>
        <v>N/A</v>
      </c>
      <c r="D71" s="100" t="str">
        <f>IFERROR(ROUND(AVERAGEIFS(engagement!$I:$I,engagement!$A:$A,"LinkedIn",engagement!$D:$D,$A71),2),"N/A")</f>
        <v>N/A</v>
      </c>
      <c r="E71" s="100" t="str">
        <f>IFERROR(ROUND(AVERAGEIFS(engagement!$I:$I,engagement!$A:$A,"ArtStation",engagement!$D:$D,$A71),2),"N/A")</f>
        <v>N/A</v>
      </c>
      <c r="J71" s="101" t="str">
        <f>IFERROR(__xludf.DUMMYFUNCTION("IFERROR(TEXT(INDEX(SORT(FILTER(engagement!$C:$C, engagement!$A:$A=dashboard!$L$4),1,1), ROW()-2), ""YYYY-MM-DD""), """")"),"")</f>
        <v/>
      </c>
      <c r="K71" s="99" t="str">
        <f>IFERROR(__xludf.DUMMYFUNCTION("IFERROR(INDEX(SORT(FILTER(engagement!$E:$E, engagement!$A:$A=dashboard!$L$4),1,1), ROW()-2), """")"),"")</f>
        <v/>
      </c>
      <c r="L71" s="95" t="str">
        <f>IFERROR(__xludf.DUMMYFUNCTION("IFERROR(INDEX(SORT(FILTER(engagement!$F:$F, engagement!$A:$A=dashboard!$L$4),1,1), ROW()-2), """")"),"")</f>
        <v/>
      </c>
    </row>
    <row r="72">
      <c r="A72" s="124" t="s">
        <v>1111</v>
      </c>
      <c r="B72" s="100">
        <f>IFERROR(ROUND(AVERAGEIFS(engagement!$I:$I,engagement!$A:$A,"Instagram",engagement!$D:$D,$A72),2),"N/A")</f>
        <v>4.02</v>
      </c>
      <c r="C72" s="100" t="str">
        <f>IFERROR(ROUND(AVERAGEIFS(engagement!$I:$I,engagement!$A:$A,"X",engagement!$D:$D,$A72),2),"N/A")</f>
        <v>N/A</v>
      </c>
      <c r="D72" s="100" t="str">
        <f>IFERROR(ROUND(AVERAGEIFS(engagement!$I:$I,engagement!$A:$A,"LinkedIn",engagement!$D:$D,$A72),2),"N/A")</f>
        <v>N/A</v>
      </c>
      <c r="E72" s="100" t="str">
        <f>IFERROR(ROUND(AVERAGEIFS(engagement!$I:$I,engagement!$A:$A,"ArtStation",engagement!$D:$D,$A72),2),"N/A")</f>
        <v>N/A</v>
      </c>
      <c r="J72" s="101" t="str">
        <f>IFERROR(__xludf.DUMMYFUNCTION("IFERROR(TEXT(INDEX(SORT(FILTER(engagement!$C:$C, engagement!$A:$A=dashboard!$L$4),1,1), ROW()-2), ""YYYY-MM-DD""), """")"),"")</f>
        <v/>
      </c>
      <c r="K72" s="99" t="str">
        <f>IFERROR(__xludf.DUMMYFUNCTION("IFERROR(INDEX(SORT(FILTER(engagement!$E:$E, engagement!$A:$A=dashboard!$L$4),1,1), ROW()-2), """")"),"")</f>
        <v/>
      </c>
      <c r="L72" s="95" t="str">
        <f>IFERROR(__xludf.DUMMYFUNCTION("IFERROR(INDEX(SORT(FILTER(engagement!$F:$F, engagement!$A:$A=dashboard!$L$4),1,1), ROW()-2), """")"),"")</f>
        <v/>
      </c>
    </row>
    <row r="73">
      <c r="A73" s="124" t="s">
        <v>1114</v>
      </c>
      <c r="B73" s="100">
        <f>IFERROR(ROUND(AVERAGEIFS(engagement!$I:$I,engagement!$A:$A,"Instagram",engagement!$D:$D,$A73),2),"N/A")</f>
        <v>4.03</v>
      </c>
      <c r="C73" s="100" t="str">
        <f>IFERROR(ROUND(AVERAGEIFS(engagement!$I:$I,engagement!$A:$A,"X",engagement!$D:$D,$A73),2),"N/A")</f>
        <v>N/A</v>
      </c>
      <c r="D73" s="100" t="str">
        <f>IFERROR(ROUND(AVERAGEIFS(engagement!$I:$I,engagement!$A:$A,"LinkedIn",engagement!$D:$D,$A73),2),"N/A")</f>
        <v>N/A</v>
      </c>
      <c r="E73" s="100" t="str">
        <f>IFERROR(ROUND(AVERAGEIFS(engagement!$I:$I,engagement!$A:$A,"ArtStation",engagement!$D:$D,$A73),2),"N/A")</f>
        <v>N/A</v>
      </c>
      <c r="J73" s="101" t="str">
        <f>IFERROR(__xludf.DUMMYFUNCTION("IFERROR(TEXT(INDEX(SORT(FILTER(engagement!$C:$C, engagement!$A:$A=dashboard!$L$4),1,1), ROW()-2), ""YYYY-MM-DD""), """")"),"")</f>
        <v/>
      </c>
      <c r="K73" s="99" t="str">
        <f>IFERROR(__xludf.DUMMYFUNCTION("IFERROR(INDEX(SORT(FILTER(engagement!$E:$E, engagement!$A:$A=dashboard!$L$4),1,1), ROW()-2), """")"),"")</f>
        <v/>
      </c>
      <c r="L73" s="95" t="str">
        <f>IFERROR(__xludf.DUMMYFUNCTION("IFERROR(INDEX(SORT(FILTER(engagement!$F:$F, engagement!$A:$A=dashboard!$L$4),1,1), ROW()-2), """")"),"")</f>
        <v/>
      </c>
    </row>
    <row r="74">
      <c r="A74" s="124" t="s">
        <v>1107</v>
      </c>
      <c r="B74" s="100">
        <f>IFERROR(ROUND(AVERAGEIFS(engagement!$I:$I,engagement!$A:$A,"Instagram",engagement!$D:$D,$A74),2),"N/A")</f>
        <v>4.02</v>
      </c>
      <c r="C74" s="100">
        <f>IFERROR(ROUND(AVERAGEIFS(engagement!$I:$I,engagement!$A:$A,"X",engagement!$D:$D,$A74),2),"N/A")</f>
        <v>1.99</v>
      </c>
      <c r="D74" s="100" t="str">
        <f>IFERROR(ROUND(AVERAGEIFS(engagement!$I:$I,engagement!$A:$A,"LinkedIn",engagement!$D:$D,$A74),2),"N/A")</f>
        <v>N/A</v>
      </c>
      <c r="E74" s="100" t="str">
        <f>IFERROR(ROUND(AVERAGEIFS(engagement!$I:$I,engagement!$A:$A,"ArtStation",engagement!$D:$D,$A74),2),"N/A")</f>
        <v>N/A</v>
      </c>
      <c r="J74" s="101" t="str">
        <f>IFERROR(__xludf.DUMMYFUNCTION("IFERROR(TEXT(INDEX(SORT(FILTER(engagement!$C:$C, engagement!$A:$A=dashboard!$L$4),1,1), ROW()-2), ""YYYY-MM-DD""), """")"),"")</f>
        <v/>
      </c>
      <c r="K74" s="99" t="str">
        <f>IFERROR(__xludf.DUMMYFUNCTION("IFERROR(INDEX(SORT(FILTER(engagement!$E:$E, engagement!$A:$A=dashboard!$L$4),1,1), ROW()-2), """")"),"")</f>
        <v/>
      </c>
      <c r="L74" s="95" t="str">
        <f>IFERROR(__xludf.DUMMYFUNCTION("IFERROR(INDEX(SORT(FILTER(engagement!$F:$F, engagement!$A:$A=dashboard!$L$4),1,1), ROW()-2), """")"),"")</f>
        <v/>
      </c>
    </row>
    <row r="75">
      <c r="A75" s="124" t="s">
        <v>1109</v>
      </c>
      <c r="B75" s="100">
        <f>IFERROR(ROUND(AVERAGEIFS(engagement!$I:$I,engagement!$A:$A,"Instagram",engagement!$D:$D,$A75),2),"N/A")</f>
        <v>4.06</v>
      </c>
      <c r="C75" s="100">
        <f>IFERROR(ROUND(AVERAGEIFS(engagement!$I:$I,engagement!$A:$A,"X",engagement!$D:$D,$A75),2),"N/A")</f>
        <v>0.95</v>
      </c>
      <c r="D75" s="100" t="str">
        <f>IFERROR(ROUND(AVERAGEIFS(engagement!$I:$I,engagement!$A:$A,"LinkedIn",engagement!$D:$D,$A75),2),"N/A")</f>
        <v>N/A</v>
      </c>
      <c r="E75" s="100" t="str">
        <f>IFERROR(ROUND(AVERAGEIFS(engagement!$I:$I,engagement!$A:$A,"ArtStation",engagement!$D:$D,$A75),2),"N/A")</f>
        <v>N/A</v>
      </c>
      <c r="J75" s="101" t="str">
        <f>IFERROR(__xludf.DUMMYFUNCTION("IFERROR(TEXT(INDEX(SORT(FILTER(engagement!$C:$C, engagement!$A:$A=dashboard!$L$4),1,1), ROW()-2), ""YYYY-MM-DD""), """")"),"")</f>
        <v/>
      </c>
      <c r="K75" s="99" t="str">
        <f>IFERROR(__xludf.DUMMYFUNCTION("IFERROR(INDEX(SORT(FILTER(engagement!$E:$E, engagement!$A:$A=dashboard!$L$4),1,1), ROW()-2), """")"),"")</f>
        <v/>
      </c>
      <c r="L75" s="95" t="str">
        <f>IFERROR(__xludf.DUMMYFUNCTION("IFERROR(INDEX(SORT(FILTER(engagement!$F:$F, engagement!$A:$A=dashboard!$L$4),1,1), ROW()-2), """")"),"")</f>
        <v/>
      </c>
    </row>
    <row r="76">
      <c r="A76" s="124" t="s">
        <v>1108</v>
      </c>
      <c r="B76" s="100">
        <f>IFERROR(ROUND(AVERAGEIFS(engagement!$I:$I,engagement!$A:$A,"Instagram",engagement!$D:$D,$A76),2),"N/A")</f>
        <v>4.05</v>
      </c>
      <c r="C76" s="100">
        <f>IFERROR(ROUND(AVERAGEIFS(engagement!$I:$I,engagement!$A:$A,"X",engagement!$D:$D,$A76),2),"N/A")</f>
        <v>0.78</v>
      </c>
      <c r="D76" s="100" t="str">
        <f>IFERROR(ROUND(AVERAGEIFS(engagement!$I:$I,engagement!$A:$A,"LinkedIn",engagement!$D:$D,$A76),2),"N/A")</f>
        <v>N/A</v>
      </c>
      <c r="E76" s="100" t="str">
        <f>IFERROR(ROUND(AVERAGEIFS(engagement!$I:$I,engagement!$A:$A,"ArtStation",engagement!$D:$D,$A76),2),"N/A")</f>
        <v>N/A</v>
      </c>
      <c r="J76" s="101" t="str">
        <f>IFERROR(__xludf.DUMMYFUNCTION("IFERROR(TEXT(INDEX(SORT(FILTER(engagement!$C:$C, engagement!$A:$A=dashboard!$L$4),1,1), ROW()-2), ""YYYY-MM-DD""), """")"),"")</f>
        <v/>
      </c>
      <c r="K76" s="99" t="str">
        <f>IFERROR(__xludf.DUMMYFUNCTION("IFERROR(INDEX(SORT(FILTER(engagement!$E:$E, engagement!$A:$A=dashboard!$L$4),1,1), ROW()-2), """")"),"")</f>
        <v/>
      </c>
      <c r="L76" s="95" t="str">
        <f>IFERROR(__xludf.DUMMYFUNCTION("IFERROR(INDEX(SORT(FILTER(engagement!$F:$F, engagement!$A:$A=dashboard!$L$4),1,1), ROW()-2), """")"),"")</f>
        <v/>
      </c>
    </row>
    <row r="77">
      <c r="A77" s="124" t="s">
        <v>1105</v>
      </c>
      <c r="B77" s="100">
        <f>IFERROR(ROUND(AVERAGEIFS(engagement!$I:$I,engagement!$A:$A,"Instagram",engagement!$D:$D,$A77),2),"N/A")</f>
        <v>4.03</v>
      </c>
      <c r="C77" s="100" t="str">
        <f>IFERROR(ROUND(AVERAGEIFS(engagement!$I:$I,engagement!$A:$A,"X",engagement!$D:$D,$A77),2),"N/A")</f>
        <v>N/A</v>
      </c>
      <c r="D77" s="100" t="str">
        <f>IFERROR(ROUND(AVERAGEIFS(engagement!$I:$I,engagement!$A:$A,"LinkedIn",engagement!$D:$D,$A77),2),"N/A")</f>
        <v>N/A</v>
      </c>
      <c r="E77" s="100" t="str">
        <f>IFERROR(ROUND(AVERAGEIFS(engagement!$I:$I,engagement!$A:$A,"ArtStation",engagement!$D:$D,$A77),2),"N/A")</f>
        <v>N/A</v>
      </c>
      <c r="J77" s="101" t="str">
        <f>IFERROR(__xludf.DUMMYFUNCTION("IFERROR(TEXT(INDEX(SORT(FILTER(engagement!$C:$C, engagement!$A:$A=dashboard!$L$4),1,1), ROW()-2), ""YYYY-MM-DD""), """")"),"")</f>
        <v/>
      </c>
      <c r="K77" s="99" t="str">
        <f>IFERROR(__xludf.DUMMYFUNCTION("IFERROR(INDEX(SORT(FILTER(engagement!$E:$E, engagement!$A:$A=dashboard!$L$4),1,1), ROW()-2), """")"),"")</f>
        <v/>
      </c>
      <c r="L77" s="95" t="str">
        <f>IFERROR(__xludf.DUMMYFUNCTION("IFERROR(INDEX(SORT(FILTER(engagement!$F:$F, engagement!$A:$A=dashboard!$L$4),1,1), ROW()-2), """")"),"")</f>
        <v/>
      </c>
    </row>
    <row r="78">
      <c r="A78" s="124" t="s">
        <v>1103</v>
      </c>
      <c r="B78" s="100">
        <f>IFERROR(ROUND(AVERAGEIFS(engagement!$I:$I,engagement!$A:$A,"Instagram",engagement!$D:$D,$A78),2),"N/A")</f>
        <v>4.07</v>
      </c>
      <c r="C78" s="100" t="str">
        <f>IFERROR(ROUND(AVERAGEIFS(engagement!$I:$I,engagement!$A:$A,"X",engagement!$D:$D,$A78),2),"N/A")</f>
        <v>N/A</v>
      </c>
      <c r="D78" s="100" t="str">
        <f>IFERROR(ROUND(AVERAGEIFS(engagement!$I:$I,engagement!$A:$A,"LinkedIn",engagement!$D:$D,$A78),2),"N/A")</f>
        <v>N/A</v>
      </c>
      <c r="E78" s="100" t="str">
        <f>IFERROR(ROUND(AVERAGEIFS(engagement!$I:$I,engagement!$A:$A,"ArtStation",engagement!$D:$D,$A78),2),"N/A")</f>
        <v>N/A</v>
      </c>
      <c r="J78" s="101" t="str">
        <f>IFERROR(__xludf.DUMMYFUNCTION("IFERROR(TEXT(INDEX(SORT(FILTER(engagement!$C:$C, engagement!$A:$A=dashboard!$L$4),1,1), ROW()-2), ""YYYY-MM-DD""), """")"),"")</f>
        <v/>
      </c>
      <c r="K78" s="99" t="str">
        <f>IFERROR(__xludf.DUMMYFUNCTION("IFERROR(INDEX(SORT(FILTER(engagement!$E:$E, engagement!$A:$A=dashboard!$L$4),1,1), ROW()-2), """")"),"")</f>
        <v/>
      </c>
      <c r="L78" s="95" t="str">
        <f>IFERROR(__xludf.DUMMYFUNCTION("IFERROR(INDEX(SORT(FILTER(engagement!$F:$F, engagement!$A:$A=dashboard!$L$4),1,1), ROW()-2), """")"),"")</f>
        <v/>
      </c>
    </row>
    <row r="79">
      <c r="A79" s="124" t="s">
        <v>1102</v>
      </c>
      <c r="B79" s="100">
        <f>IFERROR(ROUND(AVERAGEIFS(engagement!$I:$I,engagement!$A:$A,"Instagram",engagement!$D:$D,$A79),2),"N/A")</f>
        <v>4.03</v>
      </c>
      <c r="C79" s="100" t="str">
        <f>IFERROR(ROUND(AVERAGEIFS(engagement!$I:$I,engagement!$A:$A,"X",engagement!$D:$D,$A79),2),"N/A")</f>
        <v>N/A</v>
      </c>
      <c r="D79" s="100" t="str">
        <f>IFERROR(ROUND(AVERAGEIFS(engagement!$I:$I,engagement!$A:$A,"LinkedIn",engagement!$D:$D,$A79),2),"N/A")</f>
        <v>N/A</v>
      </c>
      <c r="E79" s="100" t="str">
        <f>IFERROR(ROUND(AVERAGEIFS(engagement!$I:$I,engagement!$A:$A,"ArtStation",engagement!$D:$D,$A79),2),"N/A")</f>
        <v>N/A</v>
      </c>
      <c r="J79" s="101" t="str">
        <f>IFERROR(__xludf.DUMMYFUNCTION("IFERROR(TEXT(INDEX(SORT(FILTER(engagement!$C:$C, engagement!$A:$A=dashboard!$L$4),1,1), ROW()-2), ""YYYY-MM-DD""), """")"),"")</f>
        <v/>
      </c>
      <c r="K79" s="99" t="str">
        <f>IFERROR(__xludf.DUMMYFUNCTION("IFERROR(INDEX(SORT(FILTER(engagement!$E:$E, engagement!$A:$A=dashboard!$L$4),1,1), ROW()-2), """")"),"")</f>
        <v/>
      </c>
      <c r="L79" s="95" t="str">
        <f>IFERROR(__xludf.DUMMYFUNCTION("IFERROR(INDEX(SORT(FILTER(engagement!$F:$F, engagement!$A:$A=dashboard!$L$4),1,1), ROW()-2), """")"),"")</f>
        <v/>
      </c>
    </row>
    <row r="80">
      <c r="A80" s="124" t="s">
        <v>1104</v>
      </c>
      <c r="B80" s="100">
        <f>IFERROR(ROUND(AVERAGEIFS(engagement!$I:$I,engagement!$A:$A,"Instagram",engagement!$D:$D,$A80),2),"N/A")</f>
        <v>4.07</v>
      </c>
      <c r="C80" s="100" t="str">
        <f>IFERROR(ROUND(AVERAGEIFS(engagement!$I:$I,engagement!$A:$A,"X",engagement!$D:$D,$A80),2),"N/A")</f>
        <v>N/A</v>
      </c>
      <c r="D80" s="100" t="str">
        <f>IFERROR(ROUND(AVERAGEIFS(engagement!$I:$I,engagement!$A:$A,"LinkedIn",engagement!$D:$D,$A80),2),"N/A")</f>
        <v>N/A</v>
      </c>
      <c r="E80" s="100" t="str">
        <f>IFERROR(ROUND(AVERAGEIFS(engagement!$I:$I,engagement!$A:$A,"ArtStation",engagement!$D:$D,$A80),2),"N/A")</f>
        <v>N/A</v>
      </c>
      <c r="J80" s="101" t="str">
        <f>IFERROR(__xludf.DUMMYFUNCTION("IFERROR(TEXT(INDEX(SORT(FILTER(engagement!$C:$C, engagement!$A:$A=dashboard!$L$4),1,1), ROW()-2), ""YYYY-MM-DD""), """")"),"")</f>
        <v/>
      </c>
      <c r="K80" s="99" t="str">
        <f>IFERROR(__xludf.DUMMYFUNCTION("IFERROR(INDEX(SORT(FILTER(engagement!$E:$E, engagement!$A:$A=dashboard!$L$4),1,1), ROW()-2), """")"),"")</f>
        <v/>
      </c>
      <c r="L80" s="95" t="str">
        <f>IFERROR(__xludf.DUMMYFUNCTION("IFERROR(INDEX(SORT(FILTER(engagement!$F:$F, engagement!$A:$A=dashboard!$L$4),1,1), ROW()-2), """")"),"")</f>
        <v/>
      </c>
    </row>
    <row r="81">
      <c r="A81" s="124" t="s">
        <v>1106</v>
      </c>
      <c r="B81" s="100">
        <f>IFERROR(ROUND(AVERAGEIFS(engagement!$I:$I,engagement!$A:$A,"Instagram",engagement!$D:$D,$A81),2),"N/A")</f>
        <v>4.05</v>
      </c>
      <c r="C81" s="100" t="str">
        <f>IFERROR(ROUND(AVERAGEIFS(engagement!$I:$I,engagement!$A:$A,"X",engagement!$D:$D,$A81),2),"N/A")</f>
        <v>N/A</v>
      </c>
      <c r="D81" s="100" t="str">
        <f>IFERROR(ROUND(AVERAGEIFS(engagement!$I:$I,engagement!$A:$A,"LinkedIn",engagement!$D:$D,$A81),2),"N/A")</f>
        <v>N/A</v>
      </c>
      <c r="E81" s="100" t="str">
        <f>IFERROR(ROUND(AVERAGEIFS(engagement!$I:$I,engagement!$A:$A,"ArtStation",engagement!$D:$D,$A81),2),"N/A")</f>
        <v>N/A</v>
      </c>
      <c r="J81" s="101" t="str">
        <f>IFERROR(__xludf.DUMMYFUNCTION("IFERROR(TEXT(INDEX(SORT(FILTER(engagement!$C:$C, engagement!$A:$A=dashboard!$L$4),1,1), ROW()-2), ""YYYY-MM-DD""), """")"),"")</f>
        <v/>
      </c>
      <c r="K81" s="99" t="str">
        <f>IFERROR(__xludf.DUMMYFUNCTION("IFERROR(INDEX(SORT(FILTER(engagement!$E:$E, engagement!$A:$A=dashboard!$L$4),1,1), ROW()-2), """")"),"")</f>
        <v/>
      </c>
      <c r="L81" s="95" t="str">
        <f>IFERROR(__xludf.DUMMYFUNCTION("IFERROR(INDEX(SORT(FILTER(engagement!$F:$F, engagement!$A:$A=dashboard!$L$4),1,1), ROW()-2), """")"),"")</f>
        <v/>
      </c>
    </row>
    <row r="82">
      <c r="A82" s="124" t="s">
        <v>1096</v>
      </c>
      <c r="B82" s="100">
        <f>IFERROR(ROUND(AVERAGEIFS(engagement!$I:$I,engagement!$A:$A,"Instagram",engagement!$D:$D,$A82),2),"N/A")</f>
        <v>4.04</v>
      </c>
      <c r="C82" s="100" t="str">
        <f>IFERROR(ROUND(AVERAGEIFS(engagement!$I:$I,engagement!$A:$A,"X",engagement!$D:$D,$A82),2),"N/A")</f>
        <v>N/A</v>
      </c>
      <c r="D82" s="100" t="str">
        <f>IFERROR(ROUND(AVERAGEIFS(engagement!$I:$I,engagement!$A:$A,"LinkedIn",engagement!$D:$D,$A82),2),"N/A")</f>
        <v>N/A</v>
      </c>
      <c r="E82" s="100">
        <f>IFERROR(ROUND(AVERAGEIFS(engagement!$I:$I,engagement!$A:$A,"ArtStation",engagement!$D:$D,$A82),2),"N/A")</f>
        <v>4.47</v>
      </c>
      <c r="J82" s="101" t="str">
        <f>IFERROR(__xludf.DUMMYFUNCTION("IFERROR(TEXT(INDEX(SORT(FILTER(engagement!$C:$C, engagement!$A:$A=dashboard!$L$4),1,1), ROW()-2), ""YYYY-MM-DD""), """")"),"")</f>
        <v/>
      </c>
      <c r="K82" s="99" t="str">
        <f>IFERROR(__xludf.DUMMYFUNCTION("IFERROR(INDEX(SORT(FILTER(engagement!$E:$E, engagement!$A:$A=dashboard!$L$4),1,1), ROW()-2), """")"),"")</f>
        <v/>
      </c>
      <c r="L82" s="95" t="str">
        <f>IFERROR(__xludf.DUMMYFUNCTION("IFERROR(INDEX(SORT(FILTER(engagement!$F:$F, engagement!$A:$A=dashboard!$L$4),1,1), ROW()-2), """")"),"")</f>
        <v/>
      </c>
    </row>
    <row r="83">
      <c r="A83" s="124" t="s">
        <v>1094</v>
      </c>
      <c r="B83" s="100">
        <f>IFERROR(ROUND(AVERAGEIFS(engagement!$I:$I,engagement!$A:$A,"Instagram",engagement!$D:$D,$A83),2),"N/A")</f>
        <v>4.18</v>
      </c>
      <c r="C83" s="100" t="str">
        <f>IFERROR(ROUND(AVERAGEIFS(engagement!$I:$I,engagement!$A:$A,"X",engagement!$D:$D,$A83),2),"N/A")</f>
        <v>N/A</v>
      </c>
      <c r="D83" s="100" t="str">
        <f>IFERROR(ROUND(AVERAGEIFS(engagement!$I:$I,engagement!$A:$A,"LinkedIn",engagement!$D:$D,$A83),2),"N/A")</f>
        <v>N/A</v>
      </c>
      <c r="E83" s="100">
        <f>IFERROR(ROUND(AVERAGEIFS(engagement!$I:$I,engagement!$A:$A,"ArtStation",engagement!$D:$D,$A83),2),"N/A")</f>
        <v>6.41</v>
      </c>
      <c r="J83" s="101" t="str">
        <f>IFERROR(__xludf.DUMMYFUNCTION("IFERROR(TEXT(INDEX(SORT(FILTER(engagement!$C:$C, engagement!$A:$A=dashboard!$L$4),1,1), ROW()-2), ""YYYY-MM-DD""), """")"),"")</f>
        <v/>
      </c>
      <c r="K83" s="99" t="str">
        <f>IFERROR(__xludf.DUMMYFUNCTION("IFERROR(INDEX(SORT(FILTER(engagement!$E:$E, engagement!$A:$A=dashboard!$L$4),1,1), ROW()-2), """")"),"")</f>
        <v/>
      </c>
      <c r="L83" s="95" t="str">
        <f>IFERROR(__xludf.DUMMYFUNCTION("IFERROR(INDEX(SORT(FILTER(engagement!$F:$F, engagement!$A:$A=dashboard!$L$4),1,1), ROW()-2), """")"),"")</f>
        <v/>
      </c>
    </row>
    <row r="84">
      <c r="A84" s="124" t="s">
        <v>1099</v>
      </c>
      <c r="B84" s="100">
        <f>IFERROR(ROUND(AVERAGEIFS(engagement!$I:$I,engagement!$A:$A,"Instagram",engagement!$D:$D,$A84),2),"N/A")</f>
        <v>4.11</v>
      </c>
      <c r="C84" s="100" t="str">
        <f>IFERROR(ROUND(AVERAGEIFS(engagement!$I:$I,engagement!$A:$A,"X",engagement!$D:$D,$A84),2),"N/A")</f>
        <v>N/A</v>
      </c>
      <c r="D84" s="100" t="str">
        <f>IFERROR(ROUND(AVERAGEIFS(engagement!$I:$I,engagement!$A:$A,"LinkedIn",engagement!$D:$D,$A84),2),"N/A")</f>
        <v>N/A</v>
      </c>
      <c r="E84" s="100" t="str">
        <f>IFERROR(ROUND(AVERAGEIFS(engagement!$I:$I,engagement!$A:$A,"ArtStation",engagement!$D:$D,$A84),2),"N/A")</f>
        <v>N/A</v>
      </c>
      <c r="J84" s="101" t="str">
        <f>IFERROR(__xludf.DUMMYFUNCTION("IFERROR(TEXT(INDEX(SORT(FILTER(engagement!$C:$C, engagement!$A:$A=dashboard!$L$4),1,1), ROW()-2), ""YYYY-MM-DD""), """")"),"")</f>
        <v/>
      </c>
      <c r="K84" s="99" t="str">
        <f>IFERROR(__xludf.DUMMYFUNCTION("IFERROR(INDEX(SORT(FILTER(engagement!$E:$E, engagement!$A:$A=dashboard!$L$4),1,1), ROW()-2), """")"),"")</f>
        <v/>
      </c>
      <c r="L84" s="95" t="str">
        <f>IFERROR(__xludf.DUMMYFUNCTION("IFERROR(INDEX(SORT(FILTER(engagement!$F:$F, engagement!$A:$A=dashboard!$L$4),1,1), ROW()-2), """")"),"")</f>
        <v/>
      </c>
    </row>
    <row r="85">
      <c r="A85" s="124" t="s">
        <v>1097</v>
      </c>
      <c r="B85" s="100">
        <f>IFERROR(ROUND(AVERAGEIFS(engagement!$I:$I,engagement!$A:$A,"Instagram",engagement!$D:$D,$A85),2),"N/A")</f>
        <v>4.16</v>
      </c>
      <c r="C85" s="100" t="str">
        <f>IFERROR(ROUND(AVERAGEIFS(engagement!$I:$I,engagement!$A:$A,"X",engagement!$D:$D,$A85),2),"N/A")</f>
        <v>N/A</v>
      </c>
      <c r="D85" s="100" t="str">
        <f>IFERROR(ROUND(AVERAGEIFS(engagement!$I:$I,engagement!$A:$A,"LinkedIn",engagement!$D:$D,$A85),2),"N/A")</f>
        <v>N/A</v>
      </c>
      <c r="E85" s="100" t="str">
        <f>IFERROR(ROUND(AVERAGEIFS(engagement!$I:$I,engagement!$A:$A,"ArtStation",engagement!$D:$D,$A85),2),"N/A")</f>
        <v>N/A</v>
      </c>
      <c r="J85" s="101" t="str">
        <f>IFERROR(__xludf.DUMMYFUNCTION("IFERROR(TEXT(INDEX(SORT(FILTER(engagement!$C:$C, engagement!$A:$A=dashboard!$L$4),1,1), ROW()-2), ""YYYY-MM-DD""), """")"),"")</f>
        <v/>
      </c>
      <c r="K85" s="99" t="str">
        <f>IFERROR(__xludf.DUMMYFUNCTION("IFERROR(INDEX(SORT(FILTER(engagement!$E:$E, engagement!$A:$A=dashboard!$L$4),1,1), ROW()-2), """")"),"")</f>
        <v/>
      </c>
      <c r="L85" s="95" t="str">
        <f>IFERROR(__xludf.DUMMYFUNCTION("IFERROR(INDEX(SORT(FILTER(engagement!$F:$F, engagement!$A:$A=dashboard!$L$4),1,1), ROW()-2), """")"),"")</f>
        <v/>
      </c>
    </row>
    <row r="86">
      <c r="A86" s="124" t="s">
        <v>1100</v>
      </c>
      <c r="B86" s="100">
        <f>IFERROR(ROUND(AVERAGEIFS(engagement!$I:$I,engagement!$A:$A,"Instagram",engagement!$D:$D,$A86),2),"N/A")</f>
        <v>4.1</v>
      </c>
      <c r="C86" s="100" t="str">
        <f>IFERROR(ROUND(AVERAGEIFS(engagement!$I:$I,engagement!$A:$A,"X",engagement!$D:$D,$A86),2),"N/A")</f>
        <v>N/A</v>
      </c>
      <c r="D86" s="100" t="str">
        <f>IFERROR(ROUND(AVERAGEIFS(engagement!$I:$I,engagement!$A:$A,"LinkedIn",engagement!$D:$D,$A86),2),"N/A")</f>
        <v>N/A</v>
      </c>
      <c r="E86" s="100" t="str">
        <f>IFERROR(ROUND(AVERAGEIFS(engagement!$I:$I,engagement!$A:$A,"ArtStation",engagement!$D:$D,$A86),2),"N/A")</f>
        <v>N/A</v>
      </c>
      <c r="J86" s="101" t="str">
        <f>IFERROR(__xludf.DUMMYFUNCTION("IFERROR(TEXT(INDEX(SORT(FILTER(engagement!$C:$C, engagement!$A:$A=dashboard!$L$4),1,1), ROW()-2), ""YYYY-MM-DD""), """")"),"")</f>
        <v/>
      </c>
      <c r="K86" s="99" t="str">
        <f>IFERROR(__xludf.DUMMYFUNCTION("IFERROR(INDEX(SORT(FILTER(engagement!$E:$E, engagement!$A:$A=dashboard!$L$4),1,1), ROW()-2), """")"),"")</f>
        <v/>
      </c>
      <c r="L86" s="95" t="str">
        <f>IFERROR(__xludf.DUMMYFUNCTION("IFERROR(INDEX(SORT(FILTER(engagement!$F:$F, engagement!$A:$A=dashboard!$L$4),1,1), ROW()-2), """")"),"")</f>
        <v/>
      </c>
    </row>
    <row r="87">
      <c r="A87" s="124" t="s">
        <v>1093</v>
      </c>
      <c r="B87" s="100">
        <f>IFERROR(ROUND(AVERAGEIFS(engagement!$I:$I,engagement!$A:$A,"Instagram",engagement!$D:$D,$A87),2),"N/A")</f>
        <v>4.29</v>
      </c>
      <c r="C87" s="100" t="str">
        <f>IFERROR(ROUND(AVERAGEIFS(engagement!$I:$I,engagement!$A:$A,"X",engagement!$D:$D,$A87),2),"N/A")</f>
        <v>N/A</v>
      </c>
      <c r="D87" s="100" t="str">
        <f>IFERROR(ROUND(AVERAGEIFS(engagement!$I:$I,engagement!$A:$A,"LinkedIn",engagement!$D:$D,$A87),2),"N/A")</f>
        <v>N/A</v>
      </c>
      <c r="E87" s="100">
        <f>IFERROR(ROUND(AVERAGEIFS(engagement!$I:$I,engagement!$A:$A,"ArtStation",engagement!$D:$D,$A87),2),"N/A")</f>
        <v>61.13</v>
      </c>
      <c r="J87" s="101" t="str">
        <f>IFERROR(__xludf.DUMMYFUNCTION("IFERROR(TEXT(INDEX(SORT(FILTER(engagement!$C:$C, engagement!$A:$A=dashboard!$L$4),1,1), ROW()-2), ""YYYY-MM-DD""), """")"),"")</f>
        <v/>
      </c>
      <c r="K87" s="99" t="str">
        <f>IFERROR(__xludf.DUMMYFUNCTION("IFERROR(INDEX(SORT(FILTER(engagement!$E:$E, engagement!$A:$A=dashboard!$L$4),1,1), ROW()-2), """")"),"")</f>
        <v/>
      </c>
      <c r="L87" s="95" t="str">
        <f>IFERROR(__xludf.DUMMYFUNCTION("IFERROR(INDEX(SORT(FILTER(engagement!$F:$F, engagement!$A:$A=dashboard!$L$4),1,1), ROW()-2), """")"),"")</f>
        <v/>
      </c>
    </row>
    <row r="88">
      <c r="A88" s="124" t="s">
        <v>1101</v>
      </c>
      <c r="B88" s="100">
        <f>IFERROR(ROUND(AVERAGEIFS(engagement!$I:$I,engagement!$A:$A,"Instagram",engagement!$D:$D,$A88),2),"N/A")</f>
        <v>4.05</v>
      </c>
      <c r="C88" s="100" t="str">
        <f>IFERROR(ROUND(AVERAGEIFS(engagement!$I:$I,engagement!$A:$A,"X",engagement!$D:$D,$A88),2),"N/A")</f>
        <v>N/A</v>
      </c>
      <c r="D88" s="100" t="str">
        <f>IFERROR(ROUND(AVERAGEIFS(engagement!$I:$I,engagement!$A:$A,"LinkedIn",engagement!$D:$D,$A88),2),"N/A")</f>
        <v>N/A</v>
      </c>
      <c r="E88" s="100" t="str">
        <f>IFERROR(ROUND(AVERAGEIFS(engagement!$I:$I,engagement!$A:$A,"ArtStation",engagement!$D:$D,$A88),2),"N/A")</f>
        <v>N/A</v>
      </c>
      <c r="J88" s="101" t="str">
        <f>IFERROR(__xludf.DUMMYFUNCTION("IFERROR(TEXT(INDEX(SORT(FILTER(engagement!$C:$C, engagement!$A:$A=dashboard!$L$4),1,1), ROW()-2), ""YYYY-MM-DD""), """")"),"")</f>
        <v/>
      </c>
      <c r="K88" s="99" t="str">
        <f>IFERROR(__xludf.DUMMYFUNCTION("IFERROR(INDEX(SORT(FILTER(engagement!$E:$E, engagement!$A:$A=dashboard!$L$4),1,1), ROW()-2), """")"),"")</f>
        <v/>
      </c>
      <c r="L88" s="95" t="str">
        <f>IFERROR(__xludf.DUMMYFUNCTION("IFERROR(INDEX(SORT(FILTER(engagement!$F:$F, engagement!$A:$A=dashboard!$L$4),1,1), ROW()-2), """")"),"")</f>
        <v/>
      </c>
    </row>
    <row r="89">
      <c r="A89" s="124" t="s">
        <v>1098</v>
      </c>
      <c r="B89" s="100">
        <f>IFERROR(ROUND(AVERAGEIFS(engagement!$I:$I,engagement!$A:$A,"Instagram",engagement!$D:$D,$A89),2),"N/A")</f>
        <v>4.03</v>
      </c>
      <c r="C89" s="100" t="str">
        <f>IFERROR(ROUND(AVERAGEIFS(engagement!$I:$I,engagement!$A:$A,"X",engagement!$D:$D,$A89),2),"N/A")</f>
        <v>N/A</v>
      </c>
      <c r="D89" s="100" t="str">
        <f>IFERROR(ROUND(AVERAGEIFS(engagement!$I:$I,engagement!$A:$A,"LinkedIn",engagement!$D:$D,$A89),2),"N/A")</f>
        <v>N/A</v>
      </c>
      <c r="E89" s="100" t="str">
        <f>IFERROR(ROUND(AVERAGEIFS(engagement!$I:$I,engagement!$A:$A,"ArtStation",engagement!$D:$D,$A89),2),"N/A")</f>
        <v>N/A</v>
      </c>
      <c r="J89" s="101" t="str">
        <f>IFERROR(__xludf.DUMMYFUNCTION("IFERROR(TEXT(INDEX(SORT(FILTER(engagement!$C:$C, engagement!$A:$A=dashboard!$L$4),1,1), ROW()-2), ""YYYY-MM-DD""), """")"),"")</f>
        <v/>
      </c>
      <c r="K89" s="99" t="str">
        <f>IFERROR(__xludf.DUMMYFUNCTION("IFERROR(INDEX(SORT(FILTER(engagement!$E:$E, engagement!$A:$A=dashboard!$L$4),1,1), ROW()-2), """")"),"")</f>
        <v/>
      </c>
      <c r="L89" s="95" t="str">
        <f>IFERROR(__xludf.DUMMYFUNCTION("IFERROR(INDEX(SORT(FILTER(engagement!$F:$F, engagement!$A:$A=dashboard!$L$4),1,1), ROW()-2), """")"),"")</f>
        <v/>
      </c>
    </row>
    <row r="90">
      <c r="A90" s="124" t="s">
        <v>1095</v>
      </c>
      <c r="B90" s="100">
        <f>IFERROR(ROUND(AVERAGEIFS(engagement!$I:$I,engagement!$A:$A,"Instagram",engagement!$D:$D,$A90),2),"N/A")</f>
        <v>4.11</v>
      </c>
      <c r="C90" s="100" t="str">
        <f>IFERROR(ROUND(AVERAGEIFS(engagement!$I:$I,engagement!$A:$A,"X",engagement!$D:$D,$A90),2),"N/A")</f>
        <v>N/A</v>
      </c>
      <c r="D90" s="100" t="str">
        <f>IFERROR(ROUND(AVERAGEIFS(engagement!$I:$I,engagement!$A:$A,"LinkedIn",engagement!$D:$D,$A90),2),"N/A")</f>
        <v>N/A</v>
      </c>
      <c r="E90" s="100" t="str">
        <f>IFERROR(ROUND(AVERAGEIFS(engagement!$I:$I,engagement!$A:$A,"ArtStation",engagement!$D:$D,$A90),2),"N/A")</f>
        <v>N/A</v>
      </c>
      <c r="J90" s="101" t="str">
        <f>IFERROR(__xludf.DUMMYFUNCTION("IFERROR(TEXT(INDEX(SORT(FILTER(engagement!$C:$C, engagement!$A:$A=dashboard!$L$4),1,1), ROW()-2), ""YYYY-MM-DD""), """")"),"")</f>
        <v/>
      </c>
      <c r="K90" s="99" t="str">
        <f>IFERROR(__xludf.DUMMYFUNCTION("IFERROR(INDEX(SORT(FILTER(engagement!$E:$E, engagement!$A:$A=dashboard!$L$4),1,1), ROW()-2), """")"),"")</f>
        <v/>
      </c>
      <c r="L90" s="95" t="str">
        <f>IFERROR(__xludf.DUMMYFUNCTION("IFERROR(INDEX(SORT(FILTER(engagement!$F:$F, engagement!$A:$A=dashboard!$L$4),1,1), ROW()-2), """")"),"")</f>
        <v/>
      </c>
    </row>
    <row r="91">
      <c r="A91" s="124" t="s">
        <v>1131</v>
      </c>
      <c r="B91" s="100" t="str">
        <f>IFERROR(ROUND(AVERAGEIFS(engagement!$I:$I,engagement!$A:$A,"Instagram",engagement!$D:$D,$A91),2),"N/A")</f>
        <v>N/A</v>
      </c>
      <c r="C91" s="100" t="str">
        <f>IFERROR(ROUND(AVERAGEIFS(engagement!$I:$I,engagement!$A:$A,"X",engagement!$D:$D,$A91),2),"N/A")</f>
        <v>N/A</v>
      </c>
      <c r="D91" s="100">
        <f>IFERROR(ROUND(AVERAGEIFS(engagement!$I:$I,engagement!$A:$A,"LinkedIn",engagement!$D:$D,$A91),2),"N/A")</f>
        <v>4.31</v>
      </c>
      <c r="E91" s="100" t="str">
        <f>IFERROR(ROUND(AVERAGEIFS(engagement!$I:$I,engagement!$A:$A,"ArtStation",engagement!$D:$D,$A91),2),"N/A")</f>
        <v>N/A</v>
      </c>
      <c r="J91" s="101" t="str">
        <f>IFERROR(__xludf.DUMMYFUNCTION("IFERROR(TEXT(INDEX(SORT(FILTER(engagement!$C:$C, engagement!$A:$A=dashboard!$L$4),1,1), ROW()-2), ""YYYY-MM-DD""), """")"),"")</f>
        <v/>
      </c>
      <c r="K91" s="99" t="str">
        <f>IFERROR(__xludf.DUMMYFUNCTION("IFERROR(INDEX(SORT(FILTER(engagement!$E:$E, engagement!$A:$A=dashboard!$L$4),1,1), ROW()-2), """")"),"")</f>
        <v/>
      </c>
      <c r="L91" s="95" t="str">
        <f>IFERROR(__xludf.DUMMYFUNCTION("IFERROR(INDEX(SORT(FILTER(engagement!$F:$F, engagement!$A:$A=dashboard!$L$4),1,1), ROW()-2), """")"),"")</f>
        <v/>
      </c>
    </row>
    <row r="92">
      <c r="A92" s="125" t="s">
        <v>1120</v>
      </c>
      <c r="B92" s="104" t="str">
        <f>IFERROR(ROUND(AVERAGEIFS(engagement!$I:$I,engagement!$A:$A,"Instagram",engagement!$D:$D,$A92),2),"N/A")</f>
        <v>N/A</v>
      </c>
      <c r="C92" s="104" t="str">
        <f>IFERROR(ROUND(AVERAGEIFS(engagement!$I:$I,engagement!$A:$A,"X",engagement!$D:$D,$A92),2),"N/A")</f>
        <v>N/A</v>
      </c>
      <c r="D92" s="104" t="str">
        <f>IFERROR(ROUND(AVERAGEIFS(engagement!$I:$I,engagement!$A:$A,"LinkedIn",engagement!$D:$D,$A92),2),"N/A")</f>
        <v>N/A</v>
      </c>
      <c r="E92" s="104">
        <f>IFERROR(ROUND(AVERAGEIFS(engagement!$I:$I,engagement!$A:$A,"ArtStation",engagement!$D:$D,$A92),2),"N/A")</f>
        <v>8.2</v>
      </c>
      <c r="J92" s="101" t="str">
        <f>IFERROR(__xludf.DUMMYFUNCTION("IFERROR(TEXT(INDEX(SORT(FILTER(engagement!$C:$C, engagement!$A:$A=dashboard!$L$4),1,1), ROW()-2), ""YYYY-MM-DD""), """")"),"")</f>
        <v/>
      </c>
      <c r="K92" s="99" t="str">
        <f>IFERROR(__xludf.DUMMYFUNCTION("IFERROR(INDEX(SORT(FILTER(engagement!$E:$E, engagement!$A:$A=dashboard!$L$4),1,1), ROW()-2), """")"),"")</f>
        <v/>
      </c>
      <c r="L92" s="95" t="str">
        <f>IFERROR(__xludf.DUMMYFUNCTION("IFERROR(INDEX(SORT(FILTER(engagement!$F:$F, engagement!$A:$A=dashboard!$L$4),1,1), ROW()-2), """")"),"")</f>
        <v/>
      </c>
    </row>
    <row r="93">
      <c r="J93" s="101" t="str">
        <f>IFERROR(__xludf.DUMMYFUNCTION("IFERROR(TEXT(INDEX(SORT(FILTER(engagement!$C:$C, engagement!$A:$A=dashboard!$L$4),1,1), ROW()-2), ""YYYY-MM-DD""), """")"),"")</f>
        <v/>
      </c>
      <c r="K93" s="99" t="str">
        <f>IFERROR(__xludf.DUMMYFUNCTION("IFERROR(INDEX(SORT(FILTER(engagement!$E:$E, engagement!$A:$A=dashboard!$L$4),1,1), ROW()-2), """")"),"")</f>
        <v/>
      </c>
      <c r="L93" s="95" t="str">
        <f>IFERROR(__xludf.DUMMYFUNCTION("IFERROR(INDEX(SORT(FILTER(engagement!$F:$F, engagement!$A:$A=dashboard!$L$4),1,1), ROW()-2), """")"),"")</f>
        <v/>
      </c>
    </row>
    <row r="94">
      <c r="J94" s="101" t="str">
        <f>IFERROR(__xludf.DUMMYFUNCTION("IFERROR(TEXT(INDEX(SORT(FILTER(engagement!$C:$C, engagement!$A:$A=dashboard!$L$4),1,1), ROW()-2), ""YYYY-MM-DD""), """")"),"")</f>
        <v/>
      </c>
      <c r="K94" s="99" t="str">
        <f>IFERROR(__xludf.DUMMYFUNCTION("IFERROR(INDEX(SORT(FILTER(engagement!$E:$E, engagement!$A:$A=dashboard!$L$4),1,1), ROW()-2), """")"),"")</f>
        <v/>
      </c>
      <c r="L94" s="95" t="str">
        <f>IFERROR(__xludf.DUMMYFUNCTION("IFERROR(INDEX(SORT(FILTER(engagement!$F:$F, engagement!$A:$A=dashboard!$L$4),1,1), ROW()-2), """")"),"")</f>
        <v/>
      </c>
    </row>
    <row r="95">
      <c r="J95" s="101" t="str">
        <f>IFERROR(__xludf.DUMMYFUNCTION("IFERROR(TEXT(INDEX(SORT(FILTER(engagement!$C:$C, engagement!$A:$A=dashboard!$L$4),1,1), ROW()-2), ""YYYY-MM-DD""), """")"),"")</f>
        <v/>
      </c>
      <c r="K95" s="99" t="str">
        <f>IFERROR(__xludf.DUMMYFUNCTION("IFERROR(INDEX(SORT(FILTER(engagement!$E:$E, engagement!$A:$A=dashboard!$L$4),1,1), ROW()-2), """")"),"")</f>
        <v/>
      </c>
      <c r="L95" s="95" t="str">
        <f>IFERROR(__xludf.DUMMYFUNCTION("IFERROR(INDEX(SORT(FILTER(engagement!$F:$F, engagement!$A:$A=dashboard!$L$4),1,1), ROW()-2), """")"),"")</f>
        <v/>
      </c>
    </row>
    <row r="96">
      <c r="J96" s="101" t="str">
        <f>IFERROR(__xludf.DUMMYFUNCTION("IFERROR(TEXT(INDEX(SORT(FILTER(engagement!$C:$C, engagement!$A:$A=dashboard!$L$4),1,1), ROW()-2), ""YYYY-MM-DD""), """")"),"")</f>
        <v/>
      </c>
      <c r="K96" s="99" t="str">
        <f>IFERROR(__xludf.DUMMYFUNCTION("IFERROR(INDEX(SORT(FILTER(engagement!$E:$E, engagement!$A:$A=dashboard!$L$4),1,1), ROW()-2), """")"),"")</f>
        <v/>
      </c>
      <c r="L96" s="95" t="str">
        <f>IFERROR(__xludf.DUMMYFUNCTION("IFERROR(INDEX(SORT(FILTER(engagement!$F:$F, engagement!$A:$A=dashboard!$L$4),1,1), ROW()-2), """")"),"")</f>
        <v/>
      </c>
    </row>
    <row r="97">
      <c r="J97" s="101" t="str">
        <f>IFERROR(__xludf.DUMMYFUNCTION("IFERROR(TEXT(INDEX(SORT(FILTER(engagement!$C:$C, engagement!$A:$A=dashboard!$L$4),1,1), ROW()-2), ""YYYY-MM-DD""), """")"),"")</f>
        <v/>
      </c>
      <c r="K97" s="99" t="str">
        <f>IFERROR(__xludf.DUMMYFUNCTION("IFERROR(INDEX(SORT(FILTER(engagement!$E:$E, engagement!$A:$A=dashboard!$L$4),1,1), ROW()-2), """")"),"")</f>
        <v/>
      </c>
      <c r="L97" s="95" t="str">
        <f>IFERROR(__xludf.DUMMYFUNCTION("IFERROR(INDEX(SORT(FILTER(engagement!$F:$F, engagement!$A:$A=dashboard!$L$4),1,1), ROW()-2), """")"),"")</f>
        <v/>
      </c>
    </row>
    <row r="98">
      <c r="J98" s="101" t="str">
        <f>IFERROR(__xludf.DUMMYFUNCTION("IFERROR(TEXT(INDEX(SORT(FILTER(engagement!$C:$C, engagement!$A:$A=dashboard!$L$4),1,1), ROW()-2), ""YYYY-MM-DD""), """")"),"")</f>
        <v/>
      </c>
      <c r="K98" s="99" t="str">
        <f>IFERROR(__xludf.DUMMYFUNCTION("IFERROR(INDEX(SORT(FILTER(engagement!$E:$E, engagement!$A:$A=dashboard!$L$4),1,1), ROW()-2), """")"),"")</f>
        <v/>
      </c>
      <c r="L98" s="95" t="str">
        <f>IFERROR(__xludf.DUMMYFUNCTION("IFERROR(INDEX(SORT(FILTER(engagement!$F:$F, engagement!$A:$A=dashboard!$L$4),1,1), ROW()-2), """")"),"")</f>
        <v/>
      </c>
    </row>
    <row r="99">
      <c r="A99" s="126" t="s">
        <v>1133</v>
      </c>
      <c r="J99" s="101" t="str">
        <f>IFERROR(__xludf.DUMMYFUNCTION("IFERROR(TEXT(INDEX(SORT(FILTER(engagement!$C:$C, engagement!$A:$A=dashboard!$L$4),1,1), ROW()-2), ""YYYY-MM-DD""), """")"),"")</f>
        <v/>
      </c>
      <c r="K99" s="99" t="str">
        <f>IFERROR(__xludf.DUMMYFUNCTION("IFERROR(INDEX(SORT(FILTER(engagement!$E:$E, engagement!$A:$A=dashboard!$L$4),1,1), ROW()-2), """")"),"")</f>
        <v/>
      </c>
      <c r="L99" s="95" t="str">
        <f>IFERROR(__xludf.DUMMYFUNCTION("IFERROR(INDEX(SORT(FILTER(engagement!$F:$F, engagement!$A:$A=dashboard!$L$4),1,1), ROW()-2), """")"),"")</f>
        <v/>
      </c>
    </row>
    <row r="100">
      <c r="A100" s="127" t="s">
        <v>1092</v>
      </c>
      <c r="B100" s="127" t="s">
        <v>1070</v>
      </c>
      <c r="C100" s="127" t="s">
        <v>1071</v>
      </c>
      <c r="D100" s="127" t="s">
        <v>913</v>
      </c>
      <c r="E100" s="127" t="s">
        <v>914</v>
      </c>
      <c r="F100" s="127" t="s">
        <v>912</v>
      </c>
      <c r="G100" s="127" t="s">
        <v>1075</v>
      </c>
      <c r="H100" s="127" t="s">
        <v>38</v>
      </c>
      <c r="I100" s="128"/>
      <c r="J100" s="101" t="str">
        <f>IFERROR(__xludf.DUMMYFUNCTION("IFERROR(TEXT(INDEX(SORT(FILTER(engagement!$C:$C, engagement!$A:$A=dashboard!$L$4),1,1), ROW()-2), ""YYYY-MM-DD""), """")"),"")</f>
        <v/>
      </c>
      <c r="K100" s="99" t="str">
        <f>IFERROR(__xludf.DUMMYFUNCTION("IFERROR(INDEX(SORT(FILTER(engagement!$E:$E, engagement!$A:$A=dashboard!$L$4),1,1), ROW()-2), """")"),"")</f>
        <v/>
      </c>
      <c r="L100" s="95" t="str">
        <f>IFERROR(__xludf.DUMMYFUNCTION("IFERROR(INDEX(SORT(FILTER(engagement!$F:$F, engagement!$A:$A=dashboard!$L$4),1,1), ROW()-2), """")"),"")</f>
        <v/>
      </c>
    </row>
    <row r="101">
      <c r="A101" s="129">
        <v>1.0</v>
      </c>
      <c r="B101" s="113" t="str">
        <f t="array" ref="B101">IFERROR(INDEX(engagement!$A:$A, MATCH($G101, engagement!$I:$I, 0)), "N/A")</f>
        <v>ArtStation</v>
      </c>
      <c r="C101" s="93" t="str">
        <f t="array" ref="C101">IFERROR(TEXT(INDEX(engagement!$C:$C, MATCH($G101, engagement!$I:$I, 0)), "YYYY-MM-DD"), "N/A")</f>
        <v>2020-03-21</v>
      </c>
      <c r="D101" s="130">
        <f t="array" ref="D101">IFERROR(INDEX(engagement!$F:$F, MATCH($G101, engagement!$I:$I, 0)), "N/A")</f>
        <v>8600</v>
      </c>
      <c r="E101" s="93">
        <f t="array" ref="E101">IFERROR(INDEX(engagement!$G:$G, MATCH($G101, engagement!$I:$I, 0)), "N/A")</f>
        <v>141</v>
      </c>
      <c r="F101" s="113">
        <f t="array" ref="F101">IFERROR(INDEX(engagement!$E:$E, MATCH($G101, engagement!$I:$I, 0)), "N/A")</f>
        <v>14300</v>
      </c>
      <c r="G101" s="131">
        <f>LARGE(engagement!$I:$I, A101)</f>
        <v>61.13</v>
      </c>
      <c r="H101" s="132" t="str">
        <f t="array" ref="H101">IFERROR(INDEX(engagement!$J:$J, MATCH($G101, engagement!$I:$I, 0)), "N/A")</f>
        <v>https://www.artstation.com/artwork/gJrOym</v>
      </c>
      <c r="J101" s="101" t="str">
        <f>IFERROR(__xludf.DUMMYFUNCTION("IFERROR(TEXT(INDEX(SORT(FILTER(engagement!$C:$C, engagement!$A:$A=dashboard!$L$4),1,1), ROW()-2), ""YYYY-MM-DD""), """")"),"")</f>
        <v/>
      </c>
      <c r="K101" s="99" t="str">
        <f>IFERROR(__xludf.DUMMYFUNCTION("IFERROR(INDEX(SORT(FILTER(engagement!$E:$E, engagement!$A:$A=dashboard!$L$4),1,1), ROW()-2), """")"),"")</f>
        <v/>
      </c>
      <c r="L101" s="95" t="str">
        <f>IFERROR(__xludf.DUMMYFUNCTION("IFERROR(INDEX(SORT(FILTER(engagement!$F:$F, engagement!$A:$A=dashboard!$L$4),1,1), ROW()-2), """")"),"")</f>
        <v/>
      </c>
    </row>
    <row r="102">
      <c r="A102" s="133">
        <v>2.0</v>
      </c>
      <c r="B102" s="111" t="str">
        <f t="array" ref="B102">IFERROR(INDEX(engagement!$A:$A, MATCH($G102, engagement!$I:$I, 0)), "N/A")</f>
        <v>ArtStation</v>
      </c>
      <c r="C102" s="99" t="str">
        <f t="array" ref="C102">IFERROR(TEXT(INDEX(engagement!$C:$C, MATCH($G102, engagement!$I:$I, 0)), "YYYY-MM-DD"), "N/A")</f>
        <v>2025-04-21</v>
      </c>
      <c r="D102" s="134">
        <f t="array" ref="D102">IFERROR(INDEX(engagement!$F:$F, MATCH($G102, engagement!$I:$I, 0)), "N/A")</f>
        <v>665</v>
      </c>
      <c r="E102" s="99">
        <f t="array" ref="E102">IFERROR(INDEX(engagement!$G:$G, MATCH($G102, engagement!$I:$I, 0)), "N/A")</f>
        <v>0</v>
      </c>
      <c r="F102" s="111">
        <f t="array" ref="F102">IFERROR(INDEX(engagement!$E:$E, MATCH($G102, engagement!$I:$I, 0)), "N/A")</f>
        <v>5300</v>
      </c>
      <c r="G102" s="135">
        <f>LARGE(engagement!$I:$I, A102)</f>
        <v>12.55</v>
      </c>
      <c r="H102" s="136" t="str">
        <f t="array" ref="H102">IFERROR(INDEX(engagement!$J:$J, MATCH($G102, engagement!$I:$I, 0)), "N/A")</f>
        <v>https://www.artstation.com/artwork/bg4gGr</v>
      </c>
      <c r="J102" s="101" t="str">
        <f>IFERROR(__xludf.DUMMYFUNCTION("IFERROR(TEXT(INDEX(SORT(FILTER(engagement!$C:$C, engagement!$A:$A=dashboard!$L$4),1,1), ROW()-2), ""YYYY-MM-DD""), """")"),"")</f>
        <v/>
      </c>
      <c r="K102" s="99" t="str">
        <f>IFERROR(__xludf.DUMMYFUNCTION("IFERROR(INDEX(SORT(FILTER(engagement!$E:$E, engagement!$A:$A=dashboard!$L$4),1,1), ROW()-2), """")"),"")</f>
        <v/>
      </c>
      <c r="L102" s="95" t="str">
        <f>IFERROR(__xludf.DUMMYFUNCTION("IFERROR(INDEX(SORT(FILTER(engagement!$F:$F, engagement!$A:$A=dashboard!$L$4),1,1), ROW()-2), """")"),"")</f>
        <v/>
      </c>
    </row>
    <row r="103">
      <c r="A103" s="133">
        <v>3.0</v>
      </c>
      <c r="B103" s="111" t="str">
        <f t="array" ref="B103">IFERROR(INDEX(engagement!$A:$A, MATCH($G103, engagement!$I:$I, 0)), "N/A")</f>
        <v>LinkedIn</v>
      </c>
      <c r="C103" s="99" t="str">
        <f t="array" ref="C103">IFERROR(TEXT(INDEX(engagement!$C:$C, MATCH($G103, engagement!$I:$I, 0)), "YYYY-MM-DD"), "N/A")</f>
        <v>2025-09-26</v>
      </c>
      <c r="D103" s="134">
        <f t="array" ref="D103">IFERROR(INDEX(engagement!$F:$F, MATCH($G103, engagement!$I:$I, 0)), "N/A")</f>
        <v>244</v>
      </c>
      <c r="E103" s="99">
        <f t="array" ref="E103">IFERROR(INDEX(engagement!$G:$G, MATCH($G103, engagement!$I:$I, 0)), "N/A")</f>
        <v>2</v>
      </c>
      <c r="F103" s="111">
        <f t="array" ref="F103">IFERROR(INDEX(engagement!$E:$E, MATCH($G103, engagement!$I:$I, 0)), "N/A")</f>
        <v>2000</v>
      </c>
      <c r="G103" s="135">
        <f>LARGE(engagement!$I:$I, A103)</f>
        <v>12.3</v>
      </c>
      <c r="H103" s="136" t="str">
        <f t="array" ref="H103">IFERROR(INDEX(engagement!$J:$J, MATCH($G103, engagement!$I:$I, 0)), "N/A")</f>
        <v>https://www.linkedin.com/posts/littleredzombies_tgs-tgs2025-tokyogameshow-activity-7377333403899088897-2Amy?utm_source=combined_share_message&amp;utm_medium=member_desktop&amp;rcm=ACoAAFce_nsBbiRtt68DTPlmsCV_Z5I7to81vX8</v>
      </c>
      <c r="J103" s="101" t="str">
        <f>IFERROR(__xludf.DUMMYFUNCTION("IFERROR(TEXT(INDEX(SORT(FILTER(engagement!$C:$C, engagement!$A:$A=dashboard!$L$4),1,1), ROW()-2), ""YYYY-MM-DD""), """")"),"")</f>
        <v/>
      </c>
      <c r="K103" s="99" t="str">
        <f>IFERROR(__xludf.DUMMYFUNCTION("IFERROR(INDEX(SORT(FILTER(engagement!$E:$E, engagement!$A:$A=dashboard!$L$4),1,1), ROW()-2), """")"),"")</f>
        <v/>
      </c>
      <c r="L103" s="95" t="str">
        <f>IFERROR(__xludf.DUMMYFUNCTION("IFERROR(INDEX(SORT(FILTER(engagement!$F:$F, engagement!$A:$A=dashboard!$L$4),1,1), ROW()-2), """")"),"")</f>
        <v/>
      </c>
    </row>
    <row r="104">
      <c r="A104" s="133">
        <v>4.0</v>
      </c>
      <c r="B104" s="111" t="str">
        <f t="array" ref="B104">IFERROR(INDEX(engagement!$A:$A, MATCH($G104, engagement!$I:$I, 0)), "N/A")</f>
        <v>ArtStation</v>
      </c>
      <c r="C104" s="99" t="str">
        <f t="array" ref="C104">IFERROR(TEXT(INDEX(engagement!$C:$C, MATCH($G104, engagement!$I:$I, 0)), "YYYY-MM-DD"), "N/A")</f>
        <v>2026-03-30</v>
      </c>
      <c r="D104" s="134">
        <f t="array" ref="D104">IFERROR(INDEX(engagement!$F:$F, MATCH($G104, engagement!$I:$I, 0)), "N/A")</f>
        <v>170</v>
      </c>
      <c r="E104" s="99">
        <f t="array" ref="E104">IFERROR(INDEX(engagement!$G:$G, MATCH($G104, engagement!$I:$I, 0)), "N/A")</f>
        <v>0</v>
      </c>
      <c r="F104" s="111">
        <f t="array" ref="F104">IFERROR(INDEX(engagement!$E:$E, MATCH($G104, engagement!$I:$I, 0)), "N/A")</f>
        <v>1500</v>
      </c>
      <c r="G104" s="135">
        <f>LARGE(engagement!$I:$I, A104)</f>
        <v>11.33</v>
      </c>
      <c r="H104" s="136" t="str">
        <f t="array" ref="H104">IFERROR(INDEX(engagement!$J:$J, MATCH($G104, engagement!$I:$I, 0)), "N/A")</f>
        <v>https://www.artstation.com/artwork/bg9Nor</v>
      </c>
      <c r="J104" s="101" t="str">
        <f>IFERROR(__xludf.DUMMYFUNCTION("IFERROR(TEXT(INDEX(SORT(FILTER(engagement!$C:$C, engagement!$A:$A=dashboard!$L$4),1,1), ROW()-2), ""YYYY-MM-DD""), """")"),"")</f>
        <v/>
      </c>
      <c r="K104" s="99" t="str">
        <f>IFERROR(__xludf.DUMMYFUNCTION("IFERROR(INDEX(SORT(FILTER(engagement!$E:$E, engagement!$A:$A=dashboard!$L$4),1,1), ROW()-2), """")"),"")</f>
        <v/>
      </c>
      <c r="L104" s="95" t="str">
        <f>IFERROR(__xludf.DUMMYFUNCTION("IFERROR(INDEX(SORT(FILTER(engagement!$F:$F, engagement!$A:$A=dashboard!$L$4),1,1), ROW()-2), """")"),"")</f>
        <v/>
      </c>
    </row>
    <row r="105">
      <c r="A105" s="133">
        <v>5.0</v>
      </c>
      <c r="B105" s="111" t="str">
        <f t="array" ref="B105">IFERROR(INDEX(engagement!$A:$A, MATCH($G105, engagement!$I:$I, 0)), "N/A")</f>
        <v>ArtStation</v>
      </c>
      <c r="C105" s="99" t="str">
        <f t="array" ref="C105">IFERROR(TEXT(INDEX(engagement!$C:$C, MATCH($G105, engagement!$I:$I, 0)), "YYYY-MM-DD"), "N/A")</f>
        <v>2025-04-21</v>
      </c>
      <c r="D105" s="134">
        <f t="array" ref="D105">IFERROR(INDEX(engagement!$F:$F, MATCH($G105, engagement!$I:$I, 0)), "N/A")</f>
        <v>560</v>
      </c>
      <c r="E105" s="99">
        <f t="array" ref="E105">IFERROR(INDEX(engagement!$G:$G, MATCH($G105, engagement!$I:$I, 0)), "N/A")</f>
        <v>2</v>
      </c>
      <c r="F105" s="111">
        <f t="array" ref="F105">IFERROR(INDEX(engagement!$E:$E, MATCH($G105, engagement!$I:$I, 0)), "N/A")</f>
        <v>5100</v>
      </c>
      <c r="G105" s="135">
        <f>LARGE(engagement!$I:$I, A105)</f>
        <v>11.02</v>
      </c>
      <c r="H105" s="136" t="str">
        <f t="array" ref="H105">IFERROR(INDEX(engagement!$J:$J, MATCH($G105, engagement!$I:$I, 0)), "N/A")</f>
        <v>https://www.artstation.com/artwork/0lqlyw</v>
      </c>
      <c r="J105" s="101" t="str">
        <f>IFERROR(__xludf.DUMMYFUNCTION("IFERROR(TEXT(INDEX(SORT(FILTER(engagement!$C:$C, engagement!$A:$A=dashboard!$L$4),1,1), ROW()-2), ""YYYY-MM-DD""), """")"),"")</f>
        <v/>
      </c>
      <c r="K105" s="99" t="str">
        <f>IFERROR(__xludf.DUMMYFUNCTION("IFERROR(INDEX(SORT(FILTER(engagement!$E:$E, engagement!$A:$A=dashboard!$L$4),1,1), ROW()-2), """")"),"")</f>
        <v/>
      </c>
      <c r="L105" s="95" t="str">
        <f>IFERROR(__xludf.DUMMYFUNCTION("IFERROR(INDEX(SORT(FILTER(engagement!$F:$F, engagement!$A:$A=dashboard!$L$4),1,1), ROW()-2), """")"),"")</f>
        <v/>
      </c>
    </row>
    <row r="106">
      <c r="A106" s="133">
        <v>6.0</v>
      </c>
      <c r="B106" s="111" t="str">
        <f t="array" ref="B106">IFERROR(INDEX(engagement!$A:$A, MATCH($G106, engagement!$I:$I, 0)), "N/A")</f>
        <v>ArtStation</v>
      </c>
      <c r="C106" s="99" t="str">
        <f t="array" ref="C106">IFERROR(TEXT(INDEX(engagement!$C:$C, MATCH($G106, engagement!$I:$I, 0)), "YYYY-MM-DD"), "N/A")</f>
        <v>2026-04-01</v>
      </c>
      <c r="D106" s="134">
        <f t="array" ref="D106">IFERROR(INDEX(engagement!$F:$F, MATCH($G106, engagement!$I:$I, 0)), "N/A")</f>
        <v>303</v>
      </c>
      <c r="E106" s="99">
        <f t="array" ref="E106">IFERROR(INDEX(engagement!$G:$G, MATCH($G106, engagement!$I:$I, 0)), "N/A")</f>
        <v>2</v>
      </c>
      <c r="F106" s="111">
        <f t="array" ref="F106">IFERROR(INDEX(engagement!$E:$E, MATCH($G106, engagement!$I:$I, 0)), "N/A")</f>
        <v>2800</v>
      </c>
      <c r="G106" s="135">
        <f>LARGE(engagement!$I:$I, A106)</f>
        <v>10.89</v>
      </c>
      <c r="H106" s="136" t="str">
        <f t="array" ref="H106">IFERROR(INDEX(engagement!$J:$J, MATCH($G106, engagement!$I:$I, 0)), "N/A")</f>
        <v>https://www.artstation.com/artwork/gREQl8</v>
      </c>
      <c r="J106" s="101" t="str">
        <f>IFERROR(__xludf.DUMMYFUNCTION("IFERROR(TEXT(INDEX(SORT(FILTER(engagement!$C:$C, engagement!$A:$A=dashboard!$L$4),1,1), ROW()-2), ""YYYY-MM-DD""), """")"),"")</f>
        <v/>
      </c>
      <c r="K106" s="99" t="str">
        <f>IFERROR(__xludf.DUMMYFUNCTION("IFERROR(INDEX(SORT(FILTER(engagement!$E:$E, engagement!$A:$A=dashboard!$L$4),1,1), ROW()-2), """")"),"")</f>
        <v/>
      </c>
      <c r="L106" s="95" t="str">
        <f>IFERROR(__xludf.DUMMYFUNCTION("IFERROR(INDEX(SORT(FILTER(engagement!$F:$F, engagement!$A:$A=dashboard!$L$4),1,1), ROW()-2), """")"),"")</f>
        <v/>
      </c>
    </row>
    <row r="107">
      <c r="A107" s="133">
        <v>7.0</v>
      </c>
      <c r="B107" s="111" t="str">
        <f t="array" ref="B107">IFERROR(INDEX(engagement!$A:$A, MATCH($G107, engagement!$I:$I, 0)), "N/A")</f>
        <v>ArtStation</v>
      </c>
      <c r="C107" s="99" t="str">
        <f t="array" ref="C107">IFERROR(TEXT(INDEX(engagement!$C:$C, MATCH($G107, engagement!$I:$I, 0)), "YYYY-MM-DD"), "N/A")</f>
        <v>2025-08-07</v>
      </c>
      <c r="D107" s="134">
        <f t="array" ref="D107">IFERROR(INDEX(engagement!$F:$F, MATCH($G107, engagement!$I:$I, 0)), "N/A")</f>
        <v>580</v>
      </c>
      <c r="E107" s="99">
        <f t="array" ref="E107">IFERROR(INDEX(engagement!$G:$G, MATCH($G107, engagement!$I:$I, 0)), "N/A")</f>
        <v>5</v>
      </c>
      <c r="F107" s="111">
        <f t="array" ref="F107">IFERROR(INDEX(engagement!$E:$E, MATCH($G107, engagement!$I:$I, 0)), "N/A")</f>
        <v>5600</v>
      </c>
      <c r="G107" s="135">
        <f>LARGE(engagement!$I:$I, A107)</f>
        <v>10.45</v>
      </c>
      <c r="H107" s="136" t="str">
        <f t="array" ref="H107">IFERROR(INDEX(engagement!$J:$J, MATCH($G107, engagement!$I:$I, 0)), "N/A")</f>
        <v>https://www.artstation.com/artwork/OvKAWe</v>
      </c>
      <c r="J107" s="101" t="str">
        <f>IFERROR(__xludf.DUMMYFUNCTION("IFERROR(TEXT(INDEX(SORT(FILTER(engagement!$C:$C, engagement!$A:$A=dashboard!$L$4),1,1), ROW()-2), ""YYYY-MM-DD""), """")"),"")</f>
        <v/>
      </c>
      <c r="K107" s="99" t="str">
        <f>IFERROR(__xludf.DUMMYFUNCTION("IFERROR(INDEX(SORT(FILTER(engagement!$E:$E, engagement!$A:$A=dashboard!$L$4),1,1), ROW()-2), """")"),"")</f>
        <v/>
      </c>
      <c r="L107" s="95" t="str">
        <f>IFERROR(__xludf.DUMMYFUNCTION("IFERROR(INDEX(SORT(FILTER(engagement!$F:$F, engagement!$A:$A=dashboard!$L$4),1,1), ROW()-2), """")"),"")</f>
        <v/>
      </c>
    </row>
    <row r="108">
      <c r="A108" s="133">
        <v>8.0</v>
      </c>
      <c r="B108" s="111" t="str">
        <f t="array" ref="B108">IFERROR(INDEX(engagement!$A:$A, MATCH($G108, engagement!$I:$I, 0)), "N/A")</f>
        <v>ArtStation</v>
      </c>
      <c r="C108" s="99" t="str">
        <f t="array" ref="C108">IFERROR(TEXT(INDEX(engagement!$C:$C, MATCH($G108, engagement!$I:$I, 0)), "YYYY-MM-DD"), "N/A")</f>
        <v>2025-02-06</v>
      </c>
      <c r="D108" s="134">
        <f t="array" ref="D108">IFERROR(INDEX(engagement!$F:$F, MATCH($G108, engagement!$I:$I, 0)), "N/A")</f>
        <v>843</v>
      </c>
      <c r="E108" s="99">
        <f t="array" ref="E108">IFERROR(INDEX(engagement!$G:$G, MATCH($G108, engagement!$I:$I, 0)), "N/A")</f>
        <v>4</v>
      </c>
      <c r="F108" s="111">
        <f t="array" ref="F108">IFERROR(INDEX(engagement!$E:$E, MATCH($G108, engagement!$I:$I, 0)), "N/A")</f>
        <v>8300</v>
      </c>
      <c r="G108" s="135">
        <f>LARGE(engagement!$I:$I, A108)</f>
        <v>10.2</v>
      </c>
      <c r="H108" s="136" t="str">
        <f t="array" ref="H108">IFERROR(INDEX(engagement!$J:$J, MATCH($G108, engagement!$I:$I, 0)), "N/A")</f>
        <v>https://www.artstation.com/artwork/rlWnde</v>
      </c>
      <c r="J108" s="101" t="str">
        <f>IFERROR(__xludf.DUMMYFUNCTION("IFERROR(TEXT(INDEX(SORT(FILTER(engagement!$C:$C, engagement!$A:$A=dashboard!$L$4),1,1), ROW()-2), ""YYYY-MM-DD""), """")"),"")</f>
        <v/>
      </c>
      <c r="K108" s="99" t="str">
        <f>IFERROR(__xludf.DUMMYFUNCTION("IFERROR(INDEX(SORT(FILTER(engagement!$E:$E, engagement!$A:$A=dashboard!$L$4),1,1), ROW()-2), """")"),"")</f>
        <v/>
      </c>
      <c r="L108" s="95" t="str">
        <f>IFERROR(__xludf.DUMMYFUNCTION("IFERROR(INDEX(SORT(FILTER(engagement!$F:$F, engagement!$A:$A=dashboard!$L$4),1,1), ROW()-2), """")"),"")</f>
        <v/>
      </c>
    </row>
    <row r="109">
      <c r="A109" s="133">
        <v>9.0</v>
      </c>
      <c r="B109" s="111" t="str">
        <f t="array" ref="B109">IFERROR(INDEX(engagement!$A:$A, MATCH($G109, engagement!$I:$I, 0)), "N/A")</f>
        <v>ArtStation</v>
      </c>
      <c r="C109" s="99" t="str">
        <f t="array" ref="C109">IFERROR(TEXT(INDEX(engagement!$C:$C, MATCH($G109, engagement!$I:$I, 0)), "YYYY-MM-DD"), "N/A")</f>
        <v>2025-04-21</v>
      </c>
      <c r="D109" s="134">
        <f t="array" ref="D109">IFERROR(INDEX(engagement!$F:$F, MATCH($G109, engagement!$I:$I, 0)), "N/A")</f>
        <v>567</v>
      </c>
      <c r="E109" s="99">
        <f t="array" ref="E109">IFERROR(INDEX(engagement!$G:$G, MATCH($G109, engagement!$I:$I, 0)), "N/A")</f>
        <v>2</v>
      </c>
      <c r="F109" s="111">
        <f t="array" ref="F109">IFERROR(INDEX(engagement!$E:$E, MATCH($G109, engagement!$I:$I, 0)), "N/A")</f>
        <v>5600</v>
      </c>
      <c r="G109" s="135">
        <f>LARGE(engagement!$I:$I, A109)</f>
        <v>10.16</v>
      </c>
      <c r="H109" s="136" t="str">
        <f t="array" ref="H109">IFERROR(INDEX(engagement!$J:$J, MATCH($G109, engagement!$I:$I, 0)), "N/A")</f>
        <v>https://www.artstation.com/artwork/4NLNmW</v>
      </c>
      <c r="J109" s="101" t="str">
        <f>IFERROR(__xludf.DUMMYFUNCTION("IFERROR(TEXT(INDEX(SORT(FILTER(engagement!$C:$C, engagement!$A:$A=dashboard!$L$4),1,1), ROW()-2), ""YYYY-MM-DD""), """")"),"")</f>
        <v/>
      </c>
      <c r="K109" s="99" t="str">
        <f>IFERROR(__xludf.DUMMYFUNCTION("IFERROR(INDEX(SORT(FILTER(engagement!$E:$E, engagement!$A:$A=dashboard!$L$4),1,1), ROW()-2), """")"),"")</f>
        <v/>
      </c>
      <c r="L109" s="95" t="str">
        <f>IFERROR(__xludf.DUMMYFUNCTION("IFERROR(INDEX(SORT(FILTER(engagement!$F:$F, engagement!$A:$A=dashboard!$L$4),1,1), ROW()-2), """")"),"")</f>
        <v/>
      </c>
    </row>
    <row r="110">
      <c r="A110" s="137">
        <v>10.0</v>
      </c>
      <c r="B110" s="119" t="str">
        <f t="array" ref="B110">IFERROR(INDEX(engagement!$A:$A, MATCH($G110, engagement!$I:$I, 0)), "N/A")</f>
        <v>ArtStation</v>
      </c>
      <c r="C110" s="103" t="str">
        <f t="array" ref="C110">IFERROR(TEXT(INDEX(engagement!$C:$C, MATCH($G110, engagement!$I:$I, 0)), "YYYY-MM-DD"), "N/A")</f>
        <v>2026-02-06</v>
      </c>
      <c r="D110" s="138">
        <f t="array" ref="D110">IFERROR(INDEX(engagement!$F:$F, MATCH($G110, engagement!$I:$I, 0)), "N/A")</f>
        <v>170</v>
      </c>
      <c r="E110" s="103">
        <f t="array" ref="E110">IFERROR(INDEX(engagement!$G:$G, MATCH($G110, engagement!$I:$I, 0)), "N/A")</f>
        <v>2</v>
      </c>
      <c r="F110" s="119">
        <f t="array" ref="F110">IFERROR(INDEX(engagement!$E:$E, MATCH($G110, engagement!$I:$I, 0)), "N/A")</f>
        <v>1700</v>
      </c>
      <c r="G110" s="139">
        <f>LARGE(engagement!$I:$I, A110)</f>
        <v>10.12</v>
      </c>
      <c r="H110" s="140" t="str">
        <f t="array" ref="H110">IFERROR(INDEX(engagement!$J:$J, MATCH($G110, engagement!$I:$I, 0)), "N/A")</f>
        <v>https://www.artstation.com/artwork/oJNekO</v>
      </c>
      <c r="J110" s="101" t="str">
        <f>IFERROR(__xludf.DUMMYFUNCTION("IFERROR(TEXT(INDEX(SORT(FILTER(engagement!$C:$C, engagement!$A:$A=dashboard!$L$4),1,1), ROW()-2), ""YYYY-MM-DD""), """")"),"")</f>
        <v/>
      </c>
      <c r="K110" s="99" t="str">
        <f>IFERROR(__xludf.DUMMYFUNCTION("IFERROR(INDEX(SORT(FILTER(engagement!$E:$E, engagement!$A:$A=dashboard!$L$4),1,1), ROW()-2), """")"),"")</f>
        <v/>
      </c>
      <c r="L110" s="95" t="str">
        <f>IFERROR(__xludf.DUMMYFUNCTION("IFERROR(INDEX(SORT(FILTER(engagement!$F:$F, engagement!$A:$A=dashboard!$L$4),1,1), ROW()-2), """")"),"")</f>
        <v/>
      </c>
    </row>
    <row r="111">
      <c r="J111" s="101" t="str">
        <f>IFERROR(__xludf.DUMMYFUNCTION("IFERROR(TEXT(INDEX(SORT(FILTER(engagement!$C:$C, engagement!$A:$A=dashboard!$L$4),1,1), ROW()-2), ""YYYY-MM-DD""), """")"),"")</f>
        <v/>
      </c>
      <c r="K111" s="99" t="str">
        <f>IFERROR(__xludf.DUMMYFUNCTION("IFERROR(INDEX(SORT(FILTER(engagement!$E:$E, engagement!$A:$A=dashboard!$L$4),1,1), ROW()-2), """")"),"")</f>
        <v/>
      </c>
      <c r="L111" s="95" t="str">
        <f>IFERROR(__xludf.DUMMYFUNCTION("IFERROR(INDEX(SORT(FILTER(engagement!$F:$F, engagement!$A:$A=dashboard!$L$4),1,1), ROW()-2), """")"),"")</f>
        <v/>
      </c>
    </row>
    <row r="112">
      <c r="J112" s="101" t="str">
        <f>IFERROR(__xludf.DUMMYFUNCTION("IFERROR(TEXT(INDEX(SORT(FILTER(engagement!$C:$C, engagement!$A:$A=dashboard!$L$4),1,1), ROW()-2), ""YYYY-MM-DD""), """")"),"")</f>
        <v/>
      </c>
      <c r="K112" s="99" t="str">
        <f>IFERROR(__xludf.DUMMYFUNCTION("IFERROR(INDEX(SORT(FILTER(engagement!$E:$E, engagement!$A:$A=dashboard!$L$4),1,1), ROW()-2), """")"),"")</f>
        <v/>
      </c>
      <c r="L112" s="95" t="str">
        <f>IFERROR(__xludf.DUMMYFUNCTION("IFERROR(INDEX(SORT(FILTER(engagement!$F:$F, engagement!$A:$A=dashboard!$L$4),1,1), ROW()-2), """")"),"")</f>
        <v/>
      </c>
    </row>
    <row r="113">
      <c r="J113" s="101" t="str">
        <f>IFERROR(__xludf.DUMMYFUNCTION("IFERROR(TEXT(INDEX(SORT(FILTER(engagement!$C:$C, engagement!$A:$A=dashboard!$L$4),1,1), ROW()-2), ""YYYY-MM-DD""), """")"),"")</f>
        <v/>
      </c>
      <c r="K113" s="99" t="str">
        <f>IFERROR(__xludf.DUMMYFUNCTION("IFERROR(INDEX(SORT(FILTER(engagement!$E:$E, engagement!$A:$A=dashboard!$L$4),1,1), ROW()-2), """")"),"")</f>
        <v/>
      </c>
      <c r="L113" s="95" t="str">
        <f>IFERROR(__xludf.DUMMYFUNCTION("IFERROR(INDEX(SORT(FILTER(engagement!$F:$F, engagement!$A:$A=dashboard!$L$4),1,1), ROW()-2), """")"),"")</f>
        <v/>
      </c>
    </row>
    <row r="114">
      <c r="J114" s="101" t="str">
        <f>IFERROR(__xludf.DUMMYFUNCTION("IFERROR(TEXT(INDEX(SORT(FILTER(engagement!$C:$C, engagement!$A:$A=dashboard!$L$4),1,1), ROW()-2), ""YYYY-MM-DD""), """")"),"")</f>
        <v/>
      </c>
      <c r="K114" s="99" t="str">
        <f>IFERROR(__xludf.DUMMYFUNCTION("IFERROR(INDEX(SORT(FILTER(engagement!$E:$E, engagement!$A:$A=dashboard!$L$4),1,1), ROW()-2), """")"),"")</f>
        <v/>
      </c>
      <c r="L114" s="95" t="str">
        <f>IFERROR(__xludf.DUMMYFUNCTION("IFERROR(INDEX(SORT(FILTER(engagement!$F:$F, engagement!$A:$A=dashboard!$L$4),1,1), ROW()-2), """")"),"")</f>
        <v/>
      </c>
    </row>
    <row r="115">
      <c r="J115" s="101" t="str">
        <f>IFERROR(__xludf.DUMMYFUNCTION("IFERROR(TEXT(INDEX(SORT(FILTER(engagement!$C:$C, engagement!$A:$A=dashboard!$L$4),1,1), ROW()-2), ""YYYY-MM-DD""), """")"),"")</f>
        <v/>
      </c>
      <c r="K115" s="99" t="str">
        <f>IFERROR(__xludf.DUMMYFUNCTION("IFERROR(INDEX(SORT(FILTER(engagement!$E:$E, engagement!$A:$A=dashboard!$L$4),1,1), ROW()-2), """")"),"")</f>
        <v/>
      </c>
      <c r="L115" s="95" t="str">
        <f>IFERROR(__xludf.DUMMYFUNCTION("IFERROR(INDEX(SORT(FILTER(engagement!$F:$F, engagement!$A:$A=dashboard!$L$4),1,1), ROW()-2), """")"),"")</f>
        <v/>
      </c>
    </row>
    <row r="116">
      <c r="J116" s="101" t="str">
        <f>IFERROR(__xludf.DUMMYFUNCTION("IFERROR(TEXT(INDEX(SORT(FILTER(engagement!$C:$C, engagement!$A:$A=dashboard!$L$4),1,1), ROW()-2), ""YYYY-MM-DD""), """")"),"")</f>
        <v/>
      </c>
      <c r="K116" s="99" t="str">
        <f>IFERROR(__xludf.DUMMYFUNCTION("IFERROR(INDEX(SORT(FILTER(engagement!$E:$E, engagement!$A:$A=dashboard!$L$4),1,1), ROW()-2), """")"),"")</f>
        <v/>
      </c>
      <c r="L116" s="95" t="str">
        <f>IFERROR(__xludf.DUMMYFUNCTION("IFERROR(INDEX(SORT(FILTER(engagement!$F:$F, engagement!$A:$A=dashboard!$L$4),1,1), ROW()-2), """")"),"")</f>
        <v/>
      </c>
    </row>
    <row r="117">
      <c r="J117" s="101" t="str">
        <f>IFERROR(__xludf.DUMMYFUNCTION("IFERROR(TEXT(INDEX(SORT(FILTER(engagement!$C:$C, engagement!$A:$A=dashboard!$L$4),1,1), ROW()-2), ""YYYY-MM-DD""), """")"),"")</f>
        <v/>
      </c>
      <c r="K117" s="99" t="str">
        <f>IFERROR(__xludf.DUMMYFUNCTION("IFERROR(INDEX(SORT(FILTER(engagement!$E:$E, engagement!$A:$A=dashboard!$L$4),1,1), ROW()-2), """")"),"")</f>
        <v/>
      </c>
      <c r="L117" s="95" t="str">
        <f>IFERROR(__xludf.DUMMYFUNCTION("IFERROR(INDEX(SORT(FILTER(engagement!$F:$F, engagement!$A:$A=dashboard!$L$4),1,1), ROW()-2), """")"),"")</f>
        <v/>
      </c>
    </row>
    <row r="118">
      <c r="J118" s="101" t="str">
        <f>IFERROR(__xludf.DUMMYFUNCTION("IFERROR(TEXT(INDEX(SORT(FILTER(engagement!$C:$C, engagement!$A:$A=dashboard!$L$4),1,1), ROW()-2), ""YYYY-MM-DD""), """")"),"")</f>
        <v/>
      </c>
      <c r="K118" s="99" t="str">
        <f>IFERROR(__xludf.DUMMYFUNCTION("IFERROR(INDEX(SORT(FILTER(engagement!$E:$E, engagement!$A:$A=dashboard!$L$4),1,1), ROW()-2), """")"),"")</f>
        <v/>
      </c>
      <c r="L118" s="95" t="str">
        <f>IFERROR(__xludf.DUMMYFUNCTION("IFERROR(INDEX(SORT(FILTER(engagement!$F:$F, engagement!$A:$A=dashboard!$L$4),1,1), ROW()-2), """")"),"")</f>
        <v/>
      </c>
    </row>
    <row r="119">
      <c r="J119" s="101" t="str">
        <f>IFERROR(__xludf.DUMMYFUNCTION("IFERROR(TEXT(INDEX(SORT(FILTER(engagement!$C:$C, engagement!$A:$A=dashboard!$L$4),1,1), ROW()-2), ""YYYY-MM-DD""), """")"),"")</f>
        <v/>
      </c>
      <c r="K119" s="99" t="str">
        <f>IFERROR(__xludf.DUMMYFUNCTION("IFERROR(INDEX(SORT(FILTER(engagement!$E:$E, engagement!$A:$A=dashboard!$L$4),1,1), ROW()-2), """")"),"")</f>
        <v/>
      </c>
      <c r="L119" s="95" t="str">
        <f>IFERROR(__xludf.DUMMYFUNCTION("IFERROR(INDEX(SORT(FILTER(engagement!$F:$F, engagement!$A:$A=dashboard!$L$4),1,1), ROW()-2), """")"),"")</f>
        <v/>
      </c>
    </row>
    <row r="120">
      <c r="J120" s="101" t="str">
        <f>IFERROR(__xludf.DUMMYFUNCTION("IFERROR(TEXT(INDEX(SORT(FILTER(engagement!$C:$C, engagement!$A:$A=dashboard!$L$4),1,1), ROW()-2), ""YYYY-MM-DD""), """")"),"")</f>
        <v/>
      </c>
      <c r="K120" s="99" t="str">
        <f>IFERROR(__xludf.DUMMYFUNCTION("IFERROR(INDEX(SORT(FILTER(engagement!$E:$E, engagement!$A:$A=dashboard!$L$4),1,1), ROW()-2), """")"),"")</f>
        <v/>
      </c>
      <c r="L120" s="95" t="str">
        <f>IFERROR(__xludf.DUMMYFUNCTION("IFERROR(INDEX(SORT(FILTER(engagement!$F:$F, engagement!$A:$A=dashboard!$L$4),1,1), ROW()-2), """")"),"")</f>
        <v/>
      </c>
    </row>
    <row r="121">
      <c r="J121" s="101" t="str">
        <f>IFERROR(__xludf.DUMMYFUNCTION("IFERROR(TEXT(INDEX(SORT(FILTER(engagement!$C:$C, engagement!$A:$A=dashboard!$L$4),1,1), ROW()-2), ""YYYY-MM-DD""), """")"),"")</f>
        <v/>
      </c>
      <c r="K121" s="99" t="str">
        <f>IFERROR(__xludf.DUMMYFUNCTION("IFERROR(INDEX(SORT(FILTER(engagement!$E:$E, engagement!$A:$A=dashboard!$L$4),1,1), ROW()-2), """")"),"")</f>
        <v/>
      </c>
      <c r="L121" s="95" t="str">
        <f>IFERROR(__xludf.DUMMYFUNCTION("IFERROR(INDEX(SORT(FILTER(engagement!$F:$F, engagement!$A:$A=dashboard!$L$4),1,1), ROW()-2), """")"),"")</f>
        <v/>
      </c>
    </row>
    <row r="122">
      <c r="J122" s="101" t="str">
        <f>IFERROR(__xludf.DUMMYFUNCTION("IFERROR(TEXT(INDEX(SORT(FILTER(engagement!$C:$C, engagement!$A:$A=dashboard!$L$4),1,1), ROW()-2), ""YYYY-MM-DD""), """")"),"")</f>
        <v/>
      </c>
      <c r="K122" s="99" t="str">
        <f>IFERROR(__xludf.DUMMYFUNCTION("IFERROR(INDEX(SORT(FILTER(engagement!$E:$E, engagement!$A:$A=dashboard!$L$4),1,1), ROW()-2), """")"),"")</f>
        <v/>
      </c>
      <c r="L122" s="95" t="str">
        <f>IFERROR(__xludf.DUMMYFUNCTION("IFERROR(INDEX(SORT(FILTER(engagement!$F:$F, engagement!$A:$A=dashboard!$L$4),1,1), ROW()-2), """")"),"")</f>
        <v/>
      </c>
    </row>
    <row r="123">
      <c r="J123" s="101" t="str">
        <f>IFERROR(__xludf.DUMMYFUNCTION("IFERROR(TEXT(INDEX(SORT(FILTER(engagement!$C:$C, engagement!$A:$A=dashboard!$L$4),1,1), ROW()-2), ""YYYY-MM-DD""), """")"),"")</f>
        <v/>
      </c>
      <c r="K123" s="99" t="str">
        <f>IFERROR(__xludf.DUMMYFUNCTION("IFERROR(INDEX(SORT(FILTER(engagement!$E:$E, engagement!$A:$A=dashboard!$L$4),1,1), ROW()-2), """")"),"")</f>
        <v/>
      </c>
      <c r="L123" s="95" t="str">
        <f>IFERROR(__xludf.DUMMYFUNCTION("IFERROR(INDEX(SORT(FILTER(engagement!$F:$F, engagement!$A:$A=dashboard!$L$4),1,1), ROW()-2), """")"),"")</f>
        <v/>
      </c>
    </row>
    <row r="124">
      <c r="J124" s="101" t="str">
        <f>IFERROR(__xludf.DUMMYFUNCTION("IFERROR(TEXT(INDEX(SORT(FILTER(engagement!$C:$C, engagement!$A:$A=dashboard!$L$4),1,1), ROW()-2), ""YYYY-MM-DD""), """")"),"")</f>
        <v/>
      </c>
      <c r="K124" s="99" t="str">
        <f>IFERROR(__xludf.DUMMYFUNCTION("IFERROR(INDEX(SORT(FILTER(engagement!$E:$E, engagement!$A:$A=dashboard!$L$4),1,1), ROW()-2), """")"),"")</f>
        <v/>
      </c>
      <c r="L124" s="95" t="str">
        <f>IFERROR(__xludf.DUMMYFUNCTION("IFERROR(INDEX(SORT(FILTER(engagement!$F:$F, engagement!$A:$A=dashboard!$L$4),1,1), ROW()-2), """")"),"")</f>
        <v/>
      </c>
    </row>
    <row r="125">
      <c r="J125" s="101" t="str">
        <f>IFERROR(__xludf.DUMMYFUNCTION("IFERROR(TEXT(INDEX(SORT(FILTER(engagement!$C:$C, engagement!$A:$A=dashboard!$L$4),1,1), ROW()-2), ""YYYY-MM-DD""), """")"),"")</f>
        <v/>
      </c>
      <c r="K125" s="99" t="str">
        <f>IFERROR(__xludf.DUMMYFUNCTION("IFERROR(INDEX(SORT(FILTER(engagement!$E:$E, engagement!$A:$A=dashboard!$L$4),1,1), ROW()-2), """")"),"")</f>
        <v/>
      </c>
      <c r="L125" s="95" t="str">
        <f>IFERROR(__xludf.DUMMYFUNCTION("IFERROR(INDEX(SORT(FILTER(engagement!$F:$F, engagement!$A:$A=dashboard!$L$4),1,1), ROW()-2), """")"),"")</f>
        <v/>
      </c>
    </row>
    <row r="126">
      <c r="J126" s="101" t="str">
        <f>IFERROR(__xludf.DUMMYFUNCTION("IFERROR(TEXT(INDEX(SORT(FILTER(engagement!$C:$C, engagement!$A:$A=dashboard!$L$4),1,1), ROW()-2), ""YYYY-MM-DD""), """")"),"")</f>
        <v/>
      </c>
      <c r="K126" s="99" t="str">
        <f>IFERROR(__xludf.DUMMYFUNCTION("IFERROR(INDEX(SORT(FILTER(engagement!$E:$E, engagement!$A:$A=dashboard!$L$4),1,1), ROW()-2), """")"),"")</f>
        <v/>
      </c>
      <c r="L126" s="95" t="str">
        <f>IFERROR(__xludf.DUMMYFUNCTION("IFERROR(INDEX(SORT(FILTER(engagement!$F:$F, engagement!$A:$A=dashboard!$L$4),1,1), ROW()-2), """")"),"")</f>
        <v/>
      </c>
    </row>
    <row r="127">
      <c r="J127" s="101" t="str">
        <f>IFERROR(__xludf.DUMMYFUNCTION("IFERROR(TEXT(INDEX(SORT(FILTER(engagement!$C:$C, engagement!$A:$A=dashboard!$L$4),1,1), ROW()-2), ""YYYY-MM-DD""), """")"),"")</f>
        <v/>
      </c>
      <c r="K127" s="99" t="str">
        <f>IFERROR(__xludf.DUMMYFUNCTION("IFERROR(INDEX(SORT(FILTER(engagement!$E:$E, engagement!$A:$A=dashboard!$L$4),1,1), ROW()-2), """")"),"")</f>
        <v/>
      </c>
      <c r="L127" s="95" t="str">
        <f>IFERROR(__xludf.DUMMYFUNCTION("IFERROR(INDEX(SORT(FILTER(engagement!$F:$F, engagement!$A:$A=dashboard!$L$4),1,1), ROW()-2), """")"),"")</f>
        <v/>
      </c>
    </row>
    <row r="128">
      <c r="J128" s="101" t="str">
        <f>IFERROR(__xludf.DUMMYFUNCTION("IFERROR(TEXT(INDEX(SORT(FILTER(engagement!$C:$C, engagement!$A:$A=dashboard!$L$4),1,1), ROW()-2), ""YYYY-MM-DD""), """")"),"")</f>
        <v/>
      </c>
      <c r="K128" s="99" t="str">
        <f>IFERROR(__xludf.DUMMYFUNCTION("IFERROR(INDEX(SORT(FILTER(engagement!$E:$E, engagement!$A:$A=dashboard!$L$4),1,1), ROW()-2), """")"),"")</f>
        <v/>
      </c>
      <c r="L128" s="95" t="str">
        <f>IFERROR(__xludf.DUMMYFUNCTION("IFERROR(INDEX(SORT(FILTER(engagement!$F:$F, engagement!$A:$A=dashboard!$L$4),1,1), ROW()-2), """")"),"")</f>
        <v/>
      </c>
    </row>
    <row r="129">
      <c r="J129" s="101" t="str">
        <f>IFERROR(__xludf.DUMMYFUNCTION("IFERROR(TEXT(INDEX(SORT(FILTER(engagement!$C:$C, engagement!$A:$A=dashboard!$L$4),1,1), ROW()-2), ""YYYY-MM-DD""), """")"),"")</f>
        <v/>
      </c>
      <c r="K129" s="99" t="str">
        <f>IFERROR(__xludf.DUMMYFUNCTION("IFERROR(INDEX(SORT(FILTER(engagement!$E:$E, engagement!$A:$A=dashboard!$L$4),1,1), ROW()-2), """")"),"")</f>
        <v/>
      </c>
      <c r="L129" s="95" t="str">
        <f>IFERROR(__xludf.DUMMYFUNCTION("IFERROR(INDEX(SORT(FILTER(engagement!$F:$F, engagement!$A:$A=dashboard!$L$4),1,1), ROW()-2), """")"),"")</f>
        <v/>
      </c>
    </row>
    <row r="130">
      <c r="J130" s="101" t="str">
        <f>IFERROR(__xludf.DUMMYFUNCTION("IFERROR(TEXT(INDEX(SORT(FILTER(engagement!$C:$C, engagement!$A:$A=dashboard!$L$4),1,1), ROW()-2), ""YYYY-MM-DD""), """")"),"")</f>
        <v/>
      </c>
      <c r="K130" s="99" t="str">
        <f>IFERROR(__xludf.DUMMYFUNCTION("IFERROR(INDEX(SORT(FILTER(engagement!$E:$E, engagement!$A:$A=dashboard!$L$4),1,1), ROW()-2), """")"),"")</f>
        <v/>
      </c>
      <c r="L130" s="95" t="str">
        <f>IFERROR(__xludf.DUMMYFUNCTION("IFERROR(INDEX(SORT(FILTER(engagement!$F:$F, engagement!$A:$A=dashboard!$L$4),1,1), ROW()-2), """")"),"")</f>
        <v/>
      </c>
    </row>
    <row r="131">
      <c r="J131" s="101" t="str">
        <f>IFERROR(__xludf.DUMMYFUNCTION("IFERROR(TEXT(INDEX(SORT(FILTER(engagement!$C:$C, engagement!$A:$A=dashboard!$L$4),1,1), ROW()-2), ""YYYY-MM-DD""), """")"),"")</f>
        <v/>
      </c>
      <c r="K131" s="99" t="str">
        <f>IFERROR(__xludf.DUMMYFUNCTION("IFERROR(INDEX(SORT(FILTER(engagement!$E:$E, engagement!$A:$A=dashboard!$L$4),1,1), ROW()-2), """")"),"")</f>
        <v/>
      </c>
      <c r="L131" s="95" t="str">
        <f>IFERROR(__xludf.DUMMYFUNCTION("IFERROR(INDEX(SORT(FILTER(engagement!$F:$F, engagement!$A:$A=dashboard!$L$4),1,1), ROW()-2), """")"),"")</f>
        <v/>
      </c>
    </row>
    <row r="132">
      <c r="J132" s="101" t="str">
        <f>IFERROR(__xludf.DUMMYFUNCTION("IFERROR(TEXT(INDEX(SORT(FILTER(engagement!$C:$C, engagement!$A:$A=dashboard!$L$4),1,1), ROW()-2), ""YYYY-MM-DD""), """")"),"")</f>
        <v/>
      </c>
      <c r="K132" s="99" t="str">
        <f>IFERROR(__xludf.DUMMYFUNCTION("IFERROR(INDEX(SORT(FILTER(engagement!$E:$E, engagement!$A:$A=dashboard!$L$4),1,1), ROW()-2), """")"),"")</f>
        <v/>
      </c>
      <c r="L132" s="95" t="str">
        <f>IFERROR(__xludf.DUMMYFUNCTION("IFERROR(INDEX(SORT(FILTER(engagement!$F:$F, engagement!$A:$A=dashboard!$L$4),1,1), ROW()-2), """")"),"")</f>
        <v/>
      </c>
    </row>
    <row r="133">
      <c r="J133" s="101" t="str">
        <f>IFERROR(__xludf.DUMMYFUNCTION("IFERROR(TEXT(INDEX(SORT(FILTER(engagement!$C:$C, engagement!$A:$A=dashboard!$L$4),1,1), ROW()-2), ""YYYY-MM-DD""), """")"),"")</f>
        <v/>
      </c>
      <c r="K133" s="99" t="str">
        <f>IFERROR(__xludf.DUMMYFUNCTION("IFERROR(INDEX(SORT(FILTER(engagement!$E:$E, engagement!$A:$A=dashboard!$L$4),1,1), ROW()-2), """")"),"")</f>
        <v/>
      </c>
      <c r="L133" s="95" t="str">
        <f>IFERROR(__xludf.DUMMYFUNCTION("IFERROR(INDEX(SORT(FILTER(engagement!$F:$F, engagement!$A:$A=dashboard!$L$4),1,1), ROW()-2), """")"),"")</f>
        <v/>
      </c>
    </row>
    <row r="134">
      <c r="J134" s="101" t="str">
        <f>IFERROR(__xludf.DUMMYFUNCTION("IFERROR(TEXT(INDEX(SORT(FILTER(engagement!$C:$C, engagement!$A:$A=dashboard!$L$4),1,1), ROW()-2), ""YYYY-MM-DD""), """")"),"")</f>
        <v/>
      </c>
      <c r="K134" s="99" t="str">
        <f>IFERROR(__xludf.DUMMYFUNCTION("IFERROR(INDEX(SORT(FILTER(engagement!$E:$E, engagement!$A:$A=dashboard!$L$4),1,1), ROW()-2), """")"),"")</f>
        <v/>
      </c>
      <c r="L134" s="95" t="str">
        <f>IFERROR(__xludf.DUMMYFUNCTION("IFERROR(INDEX(SORT(FILTER(engagement!$F:$F, engagement!$A:$A=dashboard!$L$4),1,1), ROW()-2), """")"),"")</f>
        <v/>
      </c>
    </row>
    <row r="135">
      <c r="J135" s="101" t="str">
        <f>IFERROR(__xludf.DUMMYFUNCTION("IFERROR(TEXT(INDEX(SORT(FILTER(engagement!$C:$C, engagement!$A:$A=dashboard!$L$4),1,1), ROW()-2), ""YYYY-MM-DD""), """")"),"")</f>
        <v/>
      </c>
      <c r="K135" s="99" t="str">
        <f>IFERROR(__xludf.DUMMYFUNCTION("IFERROR(INDEX(SORT(FILTER(engagement!$E:$E, engagement!$A:$A=dashboard!$L$4),1,1), ROW()-2), """")"),"")</f>
        <v/>
      </c>
      <c r="L135" s="95" t="str">
        <f>IFERROR(__xludf.DUMMYFUNCTION("IFERROR(INDEX(SORT(FILTER(engagement!$F:$F, engagement!$A:$A=dashboard!$L$4),1,1), ROW()-2), """")"),"")</f>
        <v/>
      </c>
    </row>
    <row r="136">
      <c r="J136" s="101" t="str">
        <f>IFERROR(__xludf.DUMMYFUNCTION("IFERROR(TEXT(INDEX(SORT(FILTER(engagement!$C:$C, engagement!$A:$A=dashboard!$L$4),1,1), ROW()-2), ""YYYY-MM-DD""), """")"),"")</f>
        <v/>
      </c>
      <c r="K136" s="99" t="str">
        <f>IFERROR(__xludf.DUMMYFUNCTION("IFERROR(INDEX(SORT(FILTER(engagement!$E:$E, engagement!$A:$A=dashboard!$L$4),1,1), ROW()-2), """")"),"")</f>
        <v/>
      </c>
      <c r="L136" s="95" t="str">
        <f>IFERROR(__xludf.DUMMYFUNCTION("IFERROR(INDEX(SORT(FILTER(engagement!$F:$F, engagement!$A:$A=dashboard!$L$4),1,1), ROW()-2), """")"),"")</f>
        <v/>
      </c>
    </row>
    <row r="137">
      <c r="J137" s="101" t="str">
        <f>IFERROR(__xludf.DUMMYFUNCTION("IFERROR(TEXT(INDEX(SORT(FILTER(engagement!$C:$C, engagement!$A:$A=dashboard!$L$4),1,1), ROW()-2), ""YYYY-MM-DD""), """")"),"")</f>
        <v/>
      </c>
      <c r="K137" s="99" t="str">
        <f>IFERROR(__xludf.DUMMYFUNCTION("IFERROR(INDEX(SORT(FILTER(engagement!$E:$E, engagement!$A:$A=dashboard!$L$4),1,1), ROW()-2), """")"),"")</f>
        <v/>
      </c>
      <c r="L137" s="95" t="str">
        <f>IFERROR(__xludf.DUMMYFUNCTION("IFERROR(INDEX(SORT(FILTER(engagement!$F:$F, engagement!$A:$A=dashboard!$L$4),1,1), ROW()-2), """")"),"")</f>
        <v/>
      </c>
    </row>
    <row r="138">
      <c r="J138" s="101" t="str">
        <f>IFERROR(__xludf.DUMMYFUNCTION("IFERROR(TEXT(INDEX(SORT(FILTER(engagement!$C:$C, engagement!$A:$A=dashboard!$L$4),1,1), ROW()-2), ""YYYY-MM-DD""), """")"),"")</f>
        <v/>
      </c>
      <c r="K138" s="99" t="str">
        <f>IFERROR(__xludf.DUMMYFUNCTION("IFERROR(INDEX(SORT(FILTER(engagement!$E:$E, engagement!$A:$A=dashboard!$L$4),1,1), ROW()-2), """")"),"")</f>
        <v/>
      </c>
      <c r="L138" s="95" t="str">
        <f>IFERROR(__xludf.DUMMYFUNCTION("IFERROR(INDEX(SORT(FILTER(engagement!$F:$F, engagement!$A:$A=dashboard!$L$4),1,1), ROW()-2), """")"),"")</f>
        <v/>
      </c>
    </row>
    <row r="139">
      <c r="J139" s="101" t="str">
        <f>IFERROR(__xludf.DUMMYFUNCTION("IFERROR(TEXT(INDEX(SORT(FILTER(engagement!$C:$C, engagement!$A:$A=dashboard!$L$4),1,1), ROW()-2), ""YYYY-MM-DD""), """")"),"")</f>
        <v/>
      </c>
      <c r="K139" s="99" t="str">
        <f>IFERROR(__xludf.DUMMYFUNCTION("IFERROR(INDEX(SORT(FILTER(engagement!$E:$E, engagement!$A:$A=dashboard!$L$4),1,1), ROW()-2), """")"),"")</f>
        <v/>
      </c>
      <c r="L139" s="95" t="str">
        <f>IFERROR(__xludf.DUMMYFUNCTION("IFERROR(INDEX(SORT(FILTER(engagement!$F:$F, engagement!$A:$A=dashboard!$L$4),1,1), ROW()-2), """")"),"")</f>
        <v/>
      </c>
    </row>
    <row r="140">
      <c r="J140" s="101" t="str">
        <f>IFERROR(__xludf.DUMMYFUNCTION("IFERROR(TEXT(INDEX(SORT(FILTER(engagement!$C:$C, engagement!$A:$A=dashboard!$L$4),1,1), ROW()-2), ""YYYY-MM-DD""), """")"),"")</f>
        <v/>
      </c>
      <c r="K140" s="99" t="str">
        <f>IFERROR(__xludf.DUMMYFUNCTION("IFERROR(INDEX(SORT(FILTER(engagement!$E:$E, engagement!$A:$A=dashboard!$L$4),1,1), ROW()-2), """")"),"")</f>
        <v/>
      </c>
      <c r="L140" s="95" t="str">
        <f>IFERROR(__xludf.DUMMYFUNCTION("IFERROR(INDEX(SORT(FILTER(engagement!$F:$F, engagement!$A:$A=dashboard!$L$4),1,1), ROW()-2), """")"),"")</f>
        <v/>
      </c>
    </row>
    <row r="141">
      <c r="J141" s="101" t="str">
        <f>IFERROR(__xludf.DUMMYFUNCTION("IFERROR(TEXT(INDEX(SORT(FILTER(engagement!$C:$C, engagement!$A:$A=dashboard!$L$4),1,1), ROW()-2), ""YYYY-MM-DD""), """")"),"")</f>
        <v/>
      </c>
      <c r="K141" s="99" t="str">
        <f>IFERROR(__xludf.DUMMYFUNCTION("IFERROR(INDEX(SORT(FILTER(engagement!$E:$E, engagement!$A:$A=dashboard!$L$4),1,1), ROW()-2), """")"),"")</f>
        <v/>
      </c>
      <c r="L141" s="95" t="str">
        <f>IFERROR(__xludf.DUMMYFUNCTION("IFERROR(INDEX(SORT(FILTER(engagement!$F:$F, engagement!$A:$A=dashboard!$L$4),1,1), ROW()-2), """")"),"")</f>
        <v/>
      </c>
    </row>
    <row r="142">
      <c r="J142" s="101" t="str">
        <f>IFERROR(__xludf.DUMMYFUNCTION("IFERROR(TEXT(INDEX(SORT(FILTER(engagement!$C:$C, engagement!$A:$A=dashboard!$L$4),1,1), ROW()-2), ""YYYY-MM-DD""), """")"),"")</f>
        <v/>
      </c>
      <c r="K142" s="99" t="str">
        <f>IFERROR(__xludf.DUMMYFUNCTION("IFERROR(INDEX(SORT(FILTER(engagement!$E:$E, engagement!$A:$A=dashboard!$L$4),1,1), ROW()-2), """")"),"")</f>
        <v/>
      </c>
      <c r="L142" s="95" t="str">
        <f>IFERROR(__xludf.DUMMYFUNCTION("IFERROR(INDEX(SORT(FILTER(engagement!$F:$F, engagement!$A:$A=dashboard!$L$4),1,1), ROW()-2), """")"),"")</f>
        <v/>
      </c>
    </row>
    <row r="143">
      <c r="J143" s="101" t="str">
        <f>IFERROR(__xludf.DUMMYFUNCTION("IFERROR(TEXT(INDEX(SORT(FILTER(engagement!$C:$C, engagement!$A:$A=dashboard!$L$4),1,1), ROW()-2), ""YYYY-MM-DD""), """")"),"")</f>
        <v/>
      </c>
      <c r="K143" s="99" t="str">
        <f>IFERROR(__xludf.DUMMYFUNCTION("IFERROR(INDEX(SORT(FILTER(engagement!$E:$E, engagement!$A:$A=dashboard!$L$4),1,1), ROW()-2), """")"),"")</f>
        <v/>
      </c>
      <c r="L143" s="95" t="str">
        <f>IFERROR(__xludf.DUMMYFUNCTION("IFERROR(INDEX(SORT(FILTER(engagement!$F:$F, engagement!$A:$A=dashboard!$L$4),1,1), ROW()-2), """")"),"")</f>
        <v/>
      </c>
    </row>
    <row r="144">
      <c r="J144" s="101" t="str">
        <f>IFERROR(__xludf.DUMMYFUNCTION("IFERROR(TEXT(INDEX(SORT(FILTER(engagement!$C:$C, engagement!$A:$A=dashboard!$L$4),1,1), ROW()-2), ""YYYY-MM-DD""), """")"),"")</f>
        <v/>
      </c>
      <c r="K144" s="99" t="str">
        <f>IFERROR(__xludf.DUMMYFUNCTION("IFERROR(INDEX(SORT(FILTER(engagement!$E:$E, engagement!$A:$A=dashboard!$L$4),1,1), ROW()-2), """")"),"")</f>
        <v/>
      </c>
      <c r="L144" s="95" t="str">
        <f>IFERROR(__xludf.DUMMYFUNCTION("IFERROR(INDEX(SORT(FILTER(engagement!$F:$F, engagement!$A:$A=dashboard!$L$4),1,1), ROW()-2), """")"),"")</f>
        <v/>
      </c>
    </row>
    <row r="145">
      <c r="J145" s="101" t="str">
        <f>IFERROR(__xludf.DUMMYFUNCTION("IFERROR(TEXT(INDEX(SORT(FILTER(engagement!$C:$C, engagement!$A:$A=dashboard!$L$4),1,1), ROW()-2), ""YYYY-MM-DD""), """")"),"")</f>
        <v/>
      </c>
      <c r="K145" s="99" t="str">
        <f>IFERROR(__xludf.DUMMYFUNCTION("IFERROR(INDEX(SORT(FILTER(engagement!$E:$E, engagement!$A:$A=dashboard!$L$4),1,1), ROW()-2), """")"),"")</f>
        <v/>
      </c>
      <c r="L145" s="95" t="str">
        <f>IFERROR(__xludf.DUMMYFUNCTION("IFERROR(INDEX(SORT(FILTER(engagement!$F:$F, engagement!$A:$A=dashboard!$L$4),1,1), ROW()-2), """")"),"")</f>
        <v/>
      </c>
    </row>
    <row r="146">
      <c r="J146" s="101" t="str">
        <f>IFERROR(__xludf.DUMMYFUNCTION("IFERROR(TEXT(INDEX(SORT(FILTER(engagement!$C:$C, engagement!$A:$A=dashboard!$L$4),1,1), ROW()-2), ""YYYY-MM-DD""), """")"),"")</f>
        <v/>
      </c>
      <c r="K146" s="99" t="str">
        <f>IFERROR(__xludf.DUMMYFUNCTION("IFERROR(INDEX(SORT(FILTER(engagement!$E:$E, engagement!$A:$A=dashboard!$L$4),1,1), ROW()-2), """")"),"")</f>
        <v/>
      </c>
      <c r="L146" s="95" t="str">
        <f>IFERROR(__xludf.DUMMYFUNCTION("IFERROR(INDEX(SORT(FILTER(engagement!$F:$F, engagement!$A:$A=dashboard!$L$4),1,1), ROW()-2), """")"),"")</f>
        <v/>
      </c>
    </row>
    <row r="147">
      <c r="J147" s="101" t="str">
        <f>IFERROR(__xludf.DUMMYFUNCTION("IFERROR(TEXT(INDEX(SORT(FILTER(engagement!$C:$C, engagement!$A:$A=dashboard!$L$4),1,1), ROW()-2), ""YYYY-MM-DD""), """")"),"")</f>
        <v/>
      </c>
      <c r="K147" s="99" t="str">
        <f>IFERROR(__xludf.DUMMYFUNCTION("IFERROR(INDEX(SORT(FILTER(engagement!$E:$E, engagement!$A:$A=dashboard!$L$4),1,1), ROW()-2), """")"),"")</f>
        <v/>
      </c>
      <c r="L147" s="95" t="str">
        <f>IFERROR(__xludf.DUMMYFUNCTION("IFERROR(INDEX(SORT(FILTER(engagement!$F:$F, engagement!$A:$A=dashboard!$L$4),1,1), ROW()-2), """")"),"")</f>
        <v/>
      </c>
    </row>
    <row r="148">
      <c r="J148" s="101" t="str">
        <f>IFERROR(__xludf.DUMMYFUNCTION("IFERROR(TEXT(INDEX(SORT(FILTER(engagement!$C:$C, engagement!$A:$A=dashboard!$L$4),1,1), ROW()-2), ""YYYY-MM-DD""), """")"),"")</f>
        <v/>
      </c>
      <c r="K148" s="99" t="str">
        <f>IFERROR(__xludf.DUMMYFUNCTION("IFERROR(INDEX(SORT(FILTER(engagement!$E:$E, engagement!$A:$A=dashboard!$L$4),1,1), ROW()-2), """")"),"")</f>
        <v/>
      </c>
      <c r="L148" s="95" t="str">
        <f>IFERROR(__xludf.DUMMYFUNCTION("IFERROR(INDEX(SORT(FILTER(engagement!$F:$F, engagement!$A:$A=dashboard!$L$4),1,1), ROW()-2), """")"),"")</f>
        <v/>
      </c>
    </row>
    <row r="149">
      <c r="J149" s="101" t="str">
        <f>IFERROR(__xludf.DUMMYFUNCTION("IFERROR(TEXT(INDEX(SORT(FILTER(engagement!$C:$C, engagement!$A:$A=dashboard!$L$4),1,1), ROW()-2), ""YYYY-MM-DD""), """")"),"")</f>
        <v/>
      </c>
      <c r="K149" s="99" t="str">
        <f>IFERROR(__xludf.DUMMYFUNCTION("IFERROR(INDEX(SORT(FILTER(engagement!$E:$E, engagement!$A:$A=dashboard!$L$4),1,1), ROW()-2), """")"),"")</f>
        <v/>
      </c>
      <c r="L149" s="95" t="str">
        <f>IFERROR(__xludf.DUMMYFUNCTION("IFERROR(INDEX(SORT(FILTER(engagement!$F:$F, engagement!$A:$A=dashboard!$L$4),1,1), ROW()-2), """")"),"")</f>
        <v/>
      </c>
    </row>
    <row r="150">
      <c r="J150" s="101" t="str">
        <f>IFERROR(__xludf.DUMMYFUNCTION("IFERROR(TEXT(INDEX(SORT(FILTER(engagement!$C:$C, engagement!$A:$A=dashboard!$L$4),1,1), ROW()-2), ""YYYY-MM-DD""), """")"),"")</f>
        <v/>
      </c>
      <c r="K150" s="99" t="str">
        <f>IFERROR(__xludf.DUMMYFUNCTION("IFERROR(INDEX(SORT(FILTER(engagement!$E:$E, engagement!$A:$A=dashboard!$L$4),1,1), ROW()-2), """")"),"")</f>
        <v/>
      </c>
      <c r="L150" s="95" t="str">
        <f>IFERROR(__xludf.DUMMYFUNCTION("IFERROR(INDEX(SORT(FILTER(engagement!$F:$F, engagement!$A:$A=dashboard!$L$4),1,1), ROW()-2), """")"),"")</f>
        <v/>
      </c>
    </row>
    <row r="151">
      <c r="J151" s="101" t="str">
        <f>IFERROR(__xludf.DUMMYFUNCTION("IFERROR(TEXT(INDEX(SORT(FILTER(engagement!$C:$C, engagement!$A:$A=dashboard!$L$4),1,1), ROW()-2), ""YYYY-MM-DD""), """")"),"")</f>
        <v/>
      </c>
      <c r="K151" s="99" t="str">
        <f>IFERROR(__xludf.DUMMYFUNCTION("IFERROR(INDEX(SORT(FILTER(engagement!$E:$E, engagement!$A:$A=dashboard!$L$4),1,1), ROW()-2), """")"),"")</f>
        <v/>
      </c>
      <c r="L151" s="95" t="str">
        <f>IFERROR(__xludf.DUMMYFUNCTION("IFERROR(INDEX(SORT(FILTER(engagement!$F:$F, engagement!$A:$A=dashboard!$L$4),1,1), ROW()-2), """")"),"")</f>
        <v/>
      </c>
    </row>
    <row r="152">
      <c r="J152" s="101" t="str">
        <f>IFERROR(__xludf.DUMMYFUNCTION("IFERROR(TEXT(INDEX(SORT(FILTER(engagement!$C:$C, engagement!$A:$A=dashboard!$L$4),1,1), ROW()-2), ""YYYY-MM-DD""), """")"),"")</f>
        <v/>
      </c>
      <c r="K152" s="99" t="str">
        <f>IFERROR(__xludf.DUMMYFUNCTION("IFERROR(INDEX(SORT(FILTER(engagement!$E:$E, engagement!$A:$A=dashboard!$L$4),1,1), ROW()-2), """")"),"")</f>
        <v/>
      </c>
      <c r="L152" s="95" t="str">
        <f>IFERROR(__xludf.DUMMYFUNCTION("IFERROR(INDEX(SORT(FILTER(engagement!$F:$F, engagement!$A:$A=dashboard!$L$4),1,1), ROW()-2), """")"),"")</f>
        <v/>
      </c>
    </row>
    <row r="153">
      <c r="J153" s="101" t="str">
        <f>IFERROR(__xludf.DUMMYFUNCTION("IFERROR(TEXT(INDEX(SORT(FILTER(engagement!$C:$C, engagement!$A:$A=dashboard!$L$4),1,1), ROW()-2), ""YYYY-MM-DD""), """")"),"")</f>
        <v/>
      </c>
      <c r="K153" s="99" t="str">
        <f>IFERROR(__xludf.DUMMYFUNCTION("IFERROR(INDEX(SORT(FILTER(engagement!$E:$E, engagement!$A:$A=dashboard!$L$4),1,1), ROW()-2), """")"),"")</f>
        <v/>
      </c>
      <c r="L153" s="95" t="str">
        <f>IFERROR(__xludf.DUMMYFUNCTION("IFERROR(INDEX(SORT(FILTER(engagement!$F:$F, engagement!$A:$A=dashboard!$L$4),1,1), ROW()-2), """")"),"")</f>
        <v/>
      </c>
    </row>
    <row r="154">
      <c r="J154" s="101" t="str">
        <f>IFERROR(__xludf.DUMMYFUNCTION("IFERROR(TEXT(INDEX(SORT(FILTER(engagement!$C:$C, engagement!$A:$A=dashboard!$L$4),1,1), ROW()-2), ""YYYY-MM-DD""), """")"),"")</f>
        <v/>
      </c>
      <c r="K154" s="99" t="str">
        <f>IFERROR(__xludf.DUMMYFUNCTION("IFERROR(INDEX(SORT(FILTER(engagement!$E:$E, engagement!$A:$A=dashboard!$L$4),1,1), ROW()-2), """")"),"")</f>
        <v/>
      </c>
      <c r="L154" s="95" t="str">
        <f>IFERROR(__xludf.DUMMYFUNCTION("IFERROR(INDEX(SORT(FILTER(engagement!$F:$F, engagement!$A:$A=dashboard!$L$4),1,1), ROW()-2), """")"),"")</f>
        <v/>
      </c>
    </row>
    <row r="155">
      <c r="J155" s="101" t="str">
        <f>IFERROR(__xludf.DUMMYFUNCTION("IFERROR(TEXT(INDEX(SORT(FILTER(engagement!$C:$C, engagement!$A:$A=dashboard!$L$4),1,1), ROW()-2), ""YYYY-MM-DD""), """")"),"")</f>
        <v/>
      </c>
      <c r="K155" s="99" t="str">
        <f>IFERROR(__xludf.DUMMYFUNCTION("IFERROR(INDEX(SORT(FILTER(engagement!$E:$E, engagement!$A:$A=dashboard!$L$4),1,1), ROW()-2), """")"),"")</f>
        <v/>
      </c>
      <c r="L155" s="95" t="str">
        <f>IFERROR(__xludf.DUMMYFUNCTION("IFERROR(INDEX(SORT(FILTER(engagement!$F:$F, engagement!$A:$A=dashboard!$L$4),1,1), ROW()-2), """")"),"")</f>
        <v/>
      </c>
    </row>
    <row r="156">
      <c r="J156" s="101" t="str">
        <f>IFERROR(__xludf.DUMMYFUNCTION("IFERROR(TEXT(INDEX(SORT(FILTER(engagement!$C:$C, engagement!$A:$A=dashboard!$L$4),1,1), ROW()-2), ""YYYY-MM-DD""), """")"),"")</f>
        <v/>
      </c>
      <c r="K156" s="99" t="str">
        <f>IFERROR(__xludf.DUMMYFUNCTION("IFERROR(INDEX(SORT(FILTER(engagement!$E:$E, engagement!$A:$A=dashboard!$L$4),1,1), ROW()-2), """")"),"")</f>
        <v/>
      </c>
      <c r="L156" s="95" t="str">
        <f>IFERROR(__xludf.DUMMYFUNCTION("IFERROR(INDEX(SORT(FILTER(engagement!$F:$F, engagement!$A:$A=dashboard!$L$4),1,1), ROW()-2), """")"),"")</f>
        <v/>
      </c>
    </row>
    <row r="157">
      <c r="J157" s="101" t="str">
        <f>IFERROR(__xludf.DUMMYFUNCTION("IFERROR(TEXT(INDEX(SORT(FILTER(engagement!$C:$C, engagement!$A:$A=dashboard!$L$4),1,1), ROW()-2), ""YYYY-MM-DD""), """")"),"")</f>
        <v/>
      </c>
      <c r="K157" s="99" t="str">
        <f>IFERROR(__xludf.DUMMYFUNCTION("IFERROR(INDEX(SORT(FILTER(engagement!$E:$E, engagement!$A:$A=dashboard!$L$4),1,1), ROW()-2), """")"),"")</f>
        <v/>
      </c>
      <c r="L157" s="95" t="str">
        <f>IFERROR(__xludf.DUMMYFUNCTION("IFERROR(INDEX(SORT(FILTER(engagement!$F:$F, engagement!$A:$A=dashboard!$L$4),1,1), ROW()-2), """")"),"")</f>
        <v/>
      </c>
    </row>
    <row r="158">
      <c r="J158" s="101" t="str">
        <f>IFERROR(__xludf.DUMMYFUNCTION("IFERROR(TEXT(INDEX(SORT(FILTER(engagement!$C:$C, engagement!$A:$A=dashboard!$L$4),1,1), ROW()-2), ""YYYY-MM-DD""), """")"),"")</f>
        <v/>
      </c>
      <c r="K158" s="99" t="str">
        <f>IFERROR(__xludf.DUMMYFUNCTION("IFERROR(INDEX(SORT(FILTER(engagement!$E:$E, engagement!$A:$A=dashboard!$L$4),1,1), ROW()-2), """")"),"")</f>
        <v/>
      </c>
      <c r="L158" s="95" t="str">
        <f>IFERROR(__xludf.DUMMYFUNCTION("IFERROR(INDEX(SORT(FILTER(engagement!$F:$F, engagement!$A:$A=dashboard!$L$4),1,1), ROW()-2), """")"),"")</f>
        <v/>
      </c>
    </row>
    <row r="159">
      <c r="J159" s="101" t="str">
        <f>IFERROR(__xludf.DUMMYFUNCTION("IFERROR(TEXT(INDEX(SORT(FILTER(engagement!$C:$C, engagement!$A:$A=dashboard!$L$4),1,1), ROW()-2), ""YYYY-MM-DD""), """")"),"")</f>
        <v/>
      </c>
      <c r="K159" s="99" t="str">
        <f>IFERROR(__xludf.DUMMYFUNCTION("IFERROR(INDEX(SORT(FILTER(engagement!$E:$E, engagement!$A:$A=dashboard!$L$4),1,1), ROW()-2), """")"),"")</f>
        <v/>
      </c>
      <c r="L159" s="95" t="str">
        <f>IFERROR(__xludf.DUMMYFUNCTION("IFERROR(INDEX(SORT(FILTER(engagement!$F:$F, engagement!$A:$A=dashboard!$L$4),1,1), ROW()-2), """")"),"")</f>
        <v/>
      </c>
    </row>
    <row r="160">
      <c r="J160" s="101" t="str">
        <f>IFERROR(__xludf.DUMMYFUNCTION("IFERROR(TEXT(INDEX(SORT(FILTER(engagement!$C:$C, engagement!$A:$A=dashboard!$L$4),1,1), ROW()-2), ""YYYY-MM-DD""), """")"),"")</f>
        <v/>
      </c>
      <c r="K160" s="99" t="str">
        <f>IFERROR(__xludf.DUMMYFUNCTION("IFERROR(INDEX(SORT(FILTER(engagement!$E:$E, engagement!$A:$A=dashboard!$L$4),1,1), ROW()-2), """")"),"")</f>
        <v/>
      </c>
      <c r="L160" s="95" t="str">
        <f>IFERROR(__xludf.DUMMYFUNCTION("IFERROR(INDEX(SORT(FILTER(engagement!$F:$F, engagement!$A:$A=dashboard!$L$4),1,1), ROW()-2), """")"),"")</f>
        <v/>
      </c>
    </row>
    <row r="161">
      <c r="J161" s="101" t="str">
        <f>IFERROR(__xludf.DUMMYFUNCTION("IFERROR(TEXT(INDEX(SORT(FILTER(engagement!$C:$C, engagement!$A:$A=dashboard!$L$4),1,1), ROW()-2), ""YYYY-MM-DD""), """")"),"")</f>
        <v/>
      </c>
      <c r="K161" s="99" t="str">
        <f>IFERROR(__xludf.DUMMYFUNCTION("IFERROR(INDEX(SORT(FILTER(engagement!$E:$E, engagement!$A:$A=dashboard!$L$4),1,1), ROW()-2), """")"),"")</f>
        <v/>
      </c>
      <c r="L161" s="95" t="str">
        <f>IFERROR(__xludf.DUMMYFUNCTION("IFERROR(INDEX(SORT(FILTER(engagement!$F:$F, engagement!$A:$A=dashboard!$L$4),1,1), ROW()-2), """")"),"")</f>
        <v/>
      </c>
    </row>
    <row r="162">
      <c r="J162" s="101" t="str">
        <f>IFERROR(__xludf.DUMMYFUNCTION("IFERROR(TEXT(INDEX(SORT(FILTER(engagement!$C:$C, engagement!$A:$A=dashboard!$L$4),1,1), ROW()-2), ""YYYY-MM-DD""), """")"),"")</f>
        <v/>
      </c>
      <c r="K162" s="99" t="str">
        <f>IFERROR(__xludf.DUMMYFUNCTION("IFERROR(INDEX(SORT(FILTER(engagement!$E:$E, engagement!$A:$A=dashboard!$L$4),1,1), ROW()-2), """")"),"")</f>
        <v/>
      </c>
      <c r="L162" s="95" t="str">
        <f>IFERROR(__xludf.DUMMYFUNCTION("IFERROR(INDEX(SORT(FILTER(engagement!$F:$F, engagement!$A:$A=dashboard!$L$4),1,1), ROW()-2), """")"),"")</f>
        <v/>
      </c>
    </row>
    <row r="163">
      <c r="J163" s="101" t="str">
        <f>IFERROR(__xludf.DUMMYFUNCTION("IFERROR(TEXT(INDEX(SORT(FILTER(engagement!$C:$C, engagement!$A:$A=dashboard!$L$4),1,1), ROW()-2), ""YYYY-MM-DD""), """")"),"")</f>
        <v/>
      </c>
      <c r="K163" s="99" t="str">
        <f>IFERROR(__xludf.DUMMYFUNCTION("IFERROR(INDEX(SORT(FILTER(engagement!$E:$E, engagement!$A:$A=dashboard!$L$4),1,1), ROW()-2), """")"),"")</f>
        <v/>
      </c>
      <c r="L163" s="95" t="str">
        <f>IFERROR(__xludf.DUMMYFUNCTION("IFERROR(INDEX(SORT(FILTER(engagement!$F:$F, engagement!$A:$A=dashboard!$L$4),1,1), ROW()-2), """")"),"")</f>
        <v/>
      </c>
    </row>
    <row r="164">
      <c r="J164" s="101" t="str">
        <f>IFERROR(__xludf.DUMMYFUNCTION("IFERROR(TEXT(INDEX(SORT(FILTER(engagement!$C:$C, engagement!$A:$A=dashboard!$L$4),1,1), ROW()-2), ""YYYY-MM-DD""), """")"),"")</f>
        <v/>
      </c>
      <c r="K164" s="99" t="str">
        <f>IFERROR(__xludf.DUMMYFUNCTION("IFERROR(INDEX(SORT(FILTER(engagement!$E:$E, engagement!$A:$A=dashboard!$L$4),1,1), ROW()-2), """")"),"")</f>
        <v/>
      </c>
      <c r="L164" s="95" t="str">
        <f>IFERROR(__xludf.DUMMYFUNCTION("IFERROR(INDEX(SORT(FILTER(engagement!$F:$F, engagement!$A:$A=dashboard!$L$4),1,1), ROW()-2), """")"),"")</f>
        <v/>
      </c>
    </row>
    <row r="165">
      <c r="J165" s="101" t="str">
        <f>IFERROR(__xludf.DUMMYFUNCTION("IFERROR(TEXT(INDEX(SORT(FILTER(engagement!$C:$C, engagement!$A:$A=dashboard!$L$4),1,1), ROW()-2), ""YYYY-MM-DD""), """")"),"")</f>
        <v/>
      </c>
      <c r="K165" s="99" t="str">
        <f>IFERROR(__xludf.DUMMYFUNCTION("IFERROR(INDEX(SORT(FILTER(engagement!$E:$E, engagement!$A:$A=dashboard!$L$4),1,1), ROW()-2), """")"),"")</f>
        <v/>
      </c>
      <c r="L165" s="95" t="str">
        <f>IFERROR(__xludf.DUMMYFUNCTION("IFERROR(INDEX(SORT(FILTER(engagement!$F:$F, engagement!$A:$A=dashboard!$L$4),1,1), ROW()-2), """")"),"")</f>
        <v/>
      </c>
    </row>
    <row r="166">
      <c r="J166" s="101" t="str">
        <f>IFERROR(__xludf.DUMMYFUNCTION("IFERROR(TEXT(INDEX(SORT(FILTER(engagement!$C:$C, engagement!$A:$A=dashboard!$L$4),1,1), ROW()-2), ""YYYY-MM-DD""), """")"),"")</f>
        <v/>
      </c>
      <c r="K166" s="99" t="str">
        <f>IFERROR(__xludf.DUMMYFUNCTION("IFERROR(INDEX(SORT(FILTER(engagement!$E:$E, engagement!$A:$A=dashboard!$L$4),1,1), ROW()-2), """")"),"")</f>
        <v/>
      </c>
      <c r="L166" s="95" t="str">
        <f>IFERROR(__xludf.DUMMYFUNCTION("IFERROR(INDEX(SORT(FILTER(engagement!$F:$F, engagement!$A:$A=dashboard!$L$4),1,1), ROW()-2), """")"),"")</f>
        <v/>
      </c>
    </row>
    <row r="167">
      <c r="J167" s="101" t="str">
        <f>IFERROR(__xludf.DUMMYFUNCTION("IFERROR(TEXT(INDEX(SORT(FILTER(engagement!$C:$C, engagement!$A:$A=dashboard!$L$4),1,1), ROW()-2), ""YYYY-MM-DD""), """")"),"")</f>
        <v/>
      </c>
      <c r="K167" s="99" t="str">
        <f>IFERROR(__xludf.DUMMYFUNCTION("IFERROR(INDEX(SORT(FILTER(engagement!$E:$E, engagement!$A:$A=dashboard!$L$4),1,1), ROW()-2), """")"),"")</f>
        <v/>
      </c>
      <c r="L167" s="95" t="str">
        <f>IFERROR(__xludf.DUMMYFUNCTION("IFERROR(INDEX(SORT(FILTER(engagement!$F:$F, engagement!$A:$A=dashboard!$L$4),1,1), ROW()-2), """")"),"")</f>
        <v/>
      </c>
    </row>
    <row r="168">
      <c r="J168" s="101" t="str">
        <f>IFERROR(__xludf.DUMMYFUNCTION("IFERROR(TEXT(INDEX(SORT(FILTER(engagement!$C:$C, engagement!$A:$A=dashboard!$L$4),1,1), ROW()-2), ""YYYY-MM-DD""), """")"),"")</f>
        <v/>
      </c>
      <c r="K168" s="99" t="str">
        <f>IFERROR(__xludf.DUMMYFUNCTION("IFERROR(INDEX(SORT(FILTER(engagement!$E:$E, engagement!$A:$A=dashboard!$L$4),1,1), ROW()-2), """")"),"")</f>
        <v/>
      </c>
      <c r="L168" s="95" t="str">
        <f>IFERROR(__xludf.DUMMYFUNCTION("IFERROR(INDEX(SORT(FILTER(engagement!$F:$F, engagement!$A:$A=dashboard!$L$4),1,1), ROW()-2), """")"),"")</f>
        <v/>
      </c>
    </row>
    <row r="169">
      <c r="J169" s="101" t="str">
        <f>IFERROR(__xludf.DUMMYFUNCTION("IFERROR(TEXT(INDEX(SORT(FILTER(engagement!$C:$C, engagement!$A:$A=dashboard!$L$4),1,1), ROW()-2), ""YYYY-MM-DD""), """")"),"")</f>
        <v/>
      </c>
      <c r="K169" s="99" t="str">
        <f>IFERROR(__xludf.DUMMYFUNCTION("IFERROR(INDEX(SORT(FILTER(engagement!$E:$E, engagement!$A:$A=dashboard!$L$4),1,1), ROW()-2), """")"),"")</f>
        <v/>
      </c>
      <c r="L169" s="95" t="str">
        <f>IFERROR(__xludf.DUMMYFUNCTION("IFERROR(INDEX(SORT(FILTER(engagement!$F:$F, engagement!$A:$A=dashboard!$L$4),1,1), ROW()-2), """")"),"")</f>
        <v/>
      </c>
    </row>
    <row r="170">
      <c r="J170" s="101" t="str">
        <f>IFERROR(__xludf.DUMMYFUNCTION("IFERROR(TEXT(INDEX(SORT(FILTER(engagement!$C:$C, engagement!$A:$A=dashboard!$L$4),1,1), ROW()-2), ""YYYY-MM-DD""), """")"),"")</f>
        <v/>
      </c>
      <c r="K170" s="99" t="str">
        <f>IFERROR(__xludf.DUMMYFUNCTION("IFERROR(INDEX(SORT(FILTER(engagement!$E:$E, engagement!$A:$A=dashboard!$L$4),1,1), ROW()-2), """")"),"")</f>
        <v/>
      </c>
      <c r="L170" s="95" t="str">
        <f>IFERROR(__xludf.DUMMYFUNCTION("IFERROR(INDEX(SORT(FILTER(engagement!$F:$F, engagement!$A:$A=dashboard!$L$4),1,1), ROW()-2), """")"),"")</f>
        <v/>
      </c>
    </row>
    <row r="171">
      <c r="J171" s="101" t="str">
        <f>IFERROR(__xludf.DUMMYFUNCTION("IFERROR(TEXT(INDEX(SORT(FILTER(engagement!$C:$C, engagement!$A:$A=dashboard!$L$4),1,1), ROW()-2), ""YYYY-MM-DD""), """")"),"")</f>
        <v/>
      </c>
      <c r="K171" s="99" t="str">
        <f>IFERROR(__xludf.DUMMYFUNCTION("IFERROR(INDEX(SORT(FILTER(engagement!$E:$E, engagement!$A:$A=dashboard!$L$4),1,1), ROW()-2), """")"),"")</f>
        <v/>
      </c>
      <c r="L171" s="95" t="str">
        <f>IFERROR(__xludf.DUMMYFUNCTION("IFERROR(INDEX(SORT(FILTER(engagement!$F:$F, engagement!$A:$A=dashboard!$L$4),1,1), ROW()-2), """")"),"")</f>
        <v/>
      </c>
    </row>
    <row r="172">
      <c r="J172" s="101" t="str">
        <f>IFERROR(__xludf.DUMMYFUNCTION("IFERROR(TEXT(INDEX(SORT(FILTER(engagement!$C:$C, engagement!$A:$A=dashboard!$L$4),1,1), ROW()-2), ""YYYY-MM-DD""), """")"),"")</f>
        <v/>
      </c>
      <c r="K172" s="99" t="str">
        <f>IFERROR(__xludf.DUMMYFUNCTION("IFERROR(INDEX(SORT(FILTER(engagement!$E:$E, engagement!$A:$A=dashboard!$L$4),1,1), ROW()-2), """")"),"")</f>
        <v/>
      </c>
      <c r="L172" s="95" t="str">
        <f>IFERROR(__xludf.DUMMYFUNCTION("IFERROR(INDEX(SORT(FILTER(engagement!$F:$F, engagement!$A:$A=dashboard!$L$4),1,1), ROW()-2), """")"),"")</f>
        <v/>
      </c>
    </row>
    <row r="173">
      <c r="J173" s="101" t="str">
        <f>IFERROR(__xludf.DUMMYFUNCTION("IFERROR(TEXT(INDEX(SORT(FILTER(engagement!$C:$C, engagement!$A:$A=dashboard!$L$4),1,1), ROW()-2), ""YYYY-MM-DD""), """")"),"")</f>
        <v/>
      </c>
      <c r="K173" s="99" t="str">
        <f>IFERROR(__xludf.DUMMYFUNCTION("IFERROR(INDEX(SORT(FILTER(engagement!$E:$E, engagement!$A:$A=dashboard!$L$4),1,1), ROW()-2), """")"),"")</f>
        <v/>
      </c>
      <c r="L173" s="95" t="str">
        <f>IFERROR(__xludf.DUMMYFUNCTION("IFERROR(INDEX(SORT(FILTER(engagement!$F:$F, engagement!$A:$A=dashboard!$L$4),1,1), ROW()-2), """")"),"")</f>
        <v/>
      </c>
    </row>
    <row r="174">
      <c r="J174" s="101" t="str">
        <f>IFERROR(__xludf.DUMMYFUNCTION("IFERROR(TEXT(INDEX(SORT(FILTER(engagement!$C:$C, engagement!$A:$A=dashboard!$L$4),1,1), ROW()-2), ""YYYY-MM-DD""), """")"),"")</f>
        <v/>
      </c>
      <c r="K174" s="99" t="str">
        <f>IFERROR(__xludf.DUMMYFUNCTION("IFERROR(INDEX(SORT(FILTER(engagement!$E:$E, engagement!$A:$A=dashboard!$L$4),1,1), ROW()-2), """")"),"")</f>
        <v/>
      </c>
      <c r="L174" s="95" t="str">
        <f>IFERROR(__xludf.DUMMYFUNCTION("IFERROR(INDEX(SORT(FILTER(engagement!$F:$F, engagement!$A:$A=dashboard!$L$4),1,1), ROW()-2), """")"),"")</f>
        <v/>
      </c>
    </row>
    <row r="175">
      <c r="J175" s="101" t="str">
        <f>IFERROR(__xludf.DUMMYFUNCTION("IFERROR(TEXT(INDEX(SORT(FILTER(engagement!$C:$C, engagement!$A:$A=dashboard!$L$4),1,1), ROW()-2), ""YYYY-MM-DD""), """")"),"")</f>
        <v/>
      </c>
      <c r="K175" s="99" t="str">
        <f>IFERROR(__xludf.DUMMYFUNCTION("IFERROR(INDEX(SORT(FILTER(engagement!$E:$E, engagement!$A:$A=dashboard!$L$4),1,1), ROW()-2), """")"),"")</f>
        <v/>
      </c>
      <c r="L175" s="95" t="str">
        <f>IFERROR(__xludf.DUMMYFUNCTION("IFERROR(INDEX(SORT(FILTER(engagement!$F:$F, engagement!$A:$A=dashboard!$L$4),1,1), ROW()-2), """")"),"")</f>
        <v/>
      </c>
    </row>
    <row r="176">
      <c r="J176" s="101" t="str">
        <f>IFERROR(__xludf.DUMMYFUNCTION("IFERROR(TEXT(INDEX(SORT(FILTER(engagement!$C:$C, engagement!$A:$A=dashboard!$L$4),1,1), ROW()-2), ""YYYY-MM-DD""), """")"),"")</f>
        <v/>
      </c>
      <c r="K176" s="99" t="str">
        <f>IFERROR(__xludf.DUMMYFUNCTION("IFERROR(INDEX(SORT(FILTER(engagement!$E:$E, engagement!$A:$A=dashboard!$L$4),1,1), ROW()-2), """")"),"")</f>
        <v/>
      </c>
      <c r="L176" s="95" t="str">
        <f>IFERROR(__xludf.DUMMYFUNCTION("IFERROR(INDEX(SORT(FILTER(engagement!$F:$F, engagement!$A:$A=dashboard!$L$4),1,1), ROW()-2), """")"),"")</f>
        <v/>
      </c>
    </row>
    <row r="177">
      <c r="J177" s="101" t="str">
        <f>IFERROR(__xludf.DUMMYFUNCTION("IFERROR(TEXT(INDEX(SORT(FILTER(engagement!$C:$C, engagement!$A:$A=dashboard!$L$4),1,1), ROW()-2), ""YYYY-MM-DD""), """")"),"")</f>
        <v/>
      </c>
      <c r="K177" s="99" t="str">
        <f>IFERROR(__xludf.DUMMYFUNCTION("IFERROR(INDEX(SORT(FILTER(engagement!$E:$E, engagement!$A:$A=dashboard!$L$4),1,1), ROW()-2), """")"),"")</f>
        <v/>
      </c>
      <c r="L177" s="95" t="str">
        <f>IFERROR(__xludf.DUMMYFUNCTION("IFERROR(INDEX(SORT(FILTER(engagement!$F:$F, engagement!$A:$A=dashboard!$L$4),1,1), ROW()-2), """")"),"")</f>
        <v/>
      </c>
    </row>
    <row r="178">
      <c r="J178" s="101" t="str">
        <f>IFERROR(__xludf.DUMMYFUNCTION("IFERROR(TEXT(INDEX(SORT(FILTER(engagement!$C:$C, engagement!$A:$A=dashboard!$L$4),1,1), ROW()-2), ""YYYY-MM-DD""), """")"),"")</f>
        <v/>
      </c>
      <c r="K178" s="99" t="str">
        <f>IFERROR(__xludf.DUMMYFUNCTION("IFERROR(INDEX(SORT(FILTER(engagement!$E:$E, engagement!$A:$A=dashboard!$L$4),1,1), ROW()-2), """")"),"")</f>
        <v/>
      </c>
      <c r="L178" s="95" t="str">
        <f>IFERROR(__xludf.DUMMYFUNCTION("IFERROR(INDEX(SORT(FILTER(engagement!$F:$F, engagement!$A:$A=dashboard!$L$4),1,1), ROW()-2), """")"),"")</f>
        <v/>
      </c>
    </row>
    <row r="179">
      <c r="J179" s="101" t="str">
        <f>IFERROR(__xludf.DUMMYFUNCTION("IFERROR(TEXT(INDEX(SORT(FILTER(engagement!$C:$C, engagement!$A:$A=dashboard!$L$4),1,1), ROW()-2), ""YYYY-MM-DD""), """")"),"")</f>
        <v/>
      </c>
      <c r="K179" s="99" t="str">
        <f>IFERROR(__xludf.DUMMYFUNCTION("IFERROR(INDEX(SORT(FILTER(engagement!$E:$E, engagement!$A:$A=dashboard!$L$4),1,1), ROW()-2), """")"),"")</f>
        <v/>
      </c>
      <c r="L179" s="95" t="str">
        <f>IFERROR(__xludf.DUMMYFUNCTION("IFERROR(INDEX(SORT(FILTER(engagement!$F:$F, engagement!$A:$A=dashboard!$L$4),1,1), ROW()-2), """")"),"")</f>
        <v/>
      </c>
    </row>
    <row r="180">
      <c r="J180" s="101" t="str">
        <f>IFERROR(__xludf.DUMMYFUNCTION("IFERROR(TEXT(INDEX(SORT(FILTER(engagement!$C:$C, engagement!$A:$A=dashboard!$L$4),1,1), ROW()-2), ""YYYY-MM-DD""), """")"),"")</f>
        <v/>
      </c>
      <c r="K180" s="99" t="str">
        <f>IFERROR(__xludf.DUMMYFUNCTION("IFERROR(INDEX(SORT(FILTER(engagement!$E:$E, engagement!$A:$A=dashboard!$L$4),1,1), ROW()-2), """")"),"")</f>
        <v/>
      </c>
      <c r="L180" s="95" t="str">
        <f>IFERROR(__xludf.DUMMYFUNCTION("IFERROR(INDEX(SORT(FILTER(engagement!$F:$F, engagement!$A:$A=dashboard!$L$4),1,1), ROW()-2), """")"),"")</f>
        <v/>
      </c>
    </row>
    <row r="181">
      <c r="J181" s="101" t="str">
        <f>IFERROR(__xludf.DUMMYFUNCTION("IFERROR(TEXT(INDEX(SORT(FILTER(engagement!$C:$C, engagement!$A:$A=dashboard!$L$4),1,1), ROW()-2), ""YYYY-MM-DD""), """")"),"")</f>
        <v/>
      </c>
      <c r="K181" s="99" t="str">
        <f>IFERROR(__xludf.DUMMYFUNCTION("IFERROR(INDEX(SORT(FILTER(engagement!$E:$E, engagement!$A:$A=dashboard!$L$4),1,1), ROW()-2), """")"),"")</f>
        <v/>
      </c>
      <c r="L181" s="95" t="str">
        <f>IFERROR(__xludf.DUMMYFUNCTION("IFERROR(INDEX(SORT(FILTER(engagement!$F:$F, engagement!$A:$A=dashboard!$L$4),1,1), ROW()-2), """")"),"")</f>
        <v/>
      </c>
    </row>
    <row r="182">
      <c r="J182" s="141" t="str">
        <f>IFERROR(__xludf.DUMMYFUNCTION("IFERROR(TEXT(INDEX(SORT(FILTER(engagement!$C:$C, engagement!$A:$A=dashboard!$L$4),1,1), ROW()-2), ""YYYY-MM-DD""), """")"),"")</f>
        <v/>
      </c>
      <c r="K182" s="103" t="str">
        <f>IFERROR(__xludf.DUMMYFUNCTION("IFERROR(INDEX(SORT(FILTER(engagement!$E:$E, engagement!$A:$A=dashboard!$L$4),1,1), ROW()-2), """")"),"")</f>
        <v/>
      </c>
      <c r="L182" s="105" t="str">
        <f>IFERROR(__xludf.DUMMYFUNCTION("IFERROR(INDEX(SORT(FILTER(engagement!$F:$F, engagement!$A:$A=dashboard!$L$4),1,1), ROW()-2), """")"),"")</f>
        <v/>
      </c>
    </row>
    <row r="183">
      <c r="J183" s="111" t="str">
        <f>IFERROR(__xludf.DUMMYFUNCTION("IFERROR(TEXT(INDEX(SORT(FILTER(engagement!$C:$C, engagement!$A:$A=dashboard!$L$4),1,1), ROW()-2), ""YYYY-MM-DD""), """")"),"")</f>
        <v/>
      </c>
      <c r="K183" s="111" t="str">
        <f>IFERROR(__xludf.DUMMYFUNCTION("IFERROR(INDEX(SORT(FILTER(engagement!$E:$E, engagement!$A:$A=dashboard!$L$4),1,1), ROW()-2), """")"),"")</f>
        <v/>
      </c>
      <c r="L183" s="111" t="str">
        <f>IFERROR(__xludf.DUMMYFUNCTION("IFERROR(INDEX(SORT(FILTER(engagement!$F:$F, engagement!$A:$A=dashboard!$L$4),1,1), ROW()-2), """")"),"")</f>
        <v/>
      </c>
    </row>
    <row r="184">
      <c r="J184" s="111" t="str">
        <f>IFERROR(__xludf.DUMMYFUNCTION("IFERROR(TEXT(INDEX(SORT(FILTER(engagement!$C:$C, engagement!$A:$A=dashboard!$L$4),1,1), ROW()-2), ""YYYY-MM-DD""), """")"),"")</f>
        <v/>
      </c>
      <c r="K184" s="111" t="str">
        <f>IFERROR(__xludf.DUMMYFUNCTION("IFERROR(INDEX(SORT(FILTER(engagement!$E:$E, engagement!$A:$A=dashboard!$L$4),1,1), ROW()-2), """")"),"")</f>
        <v/>
      </c>
      <c r="L184" s="111" t="str">
        <f>IFERROR(__xludf.DUMMYFUNCTION("IFERROR(INDEX(SORT(FILTER(engagement!$F:$F, engagement!$A:$A=dashboard!$L$4),1,1), ROW()-2), """")"),"")</f>
        <v/>
      </c>
    </row>
    <row r="185">
      <c r="J185" s="111" t="str">
        <f>IFERROR(__xludf.DUMMYFUNCTION("IFERROR(TEXT(INDEX(SORT(FILTER(engagement!$C:$C, engagement!$A:$A=dashboard!$L$4),1,1), ROW()-2), ""YYYY-MM-DD""), """")"),"")</f>
        <v/>
      </c>
      <c r="K185" s="111" t="str">
        <f>IFERROR(__xludf.DUMMYFUNCTION("IFERROR(INDEX(SORT(FILTER(engagement!$E:$E, engagement!$A:$A=dashboard!$L$4),1,1), ROW()-2), """")"),"")</f>
        <v/>
      </c>
      <c r="L185" s="111" t="str">
        <f>IFERROR(__xludf.DUMMYFUNCTION("IFERROR(INDEX(SORT(FILTER(engagement!$F:$F, engagement!$A:$A=dashboard!$L$4),1,1), ROW()-2), """")"),"")</f>
        <v/>
      </c>
    </row>
    <row r="186">
      <c r="J186" s="111" t="str">
        <f>IFERROR(__xludf.DUMMYFUNCTION("IFERROR(TEXT(INDEX(SORT(FILTER(engagement!$C:$C, engagement!$A:$A=dashboard!$L$4),1,1), ROW()-2), ""YYYY-MM-DD""), """")"),"")</f>
        <v/>
      </c>
      <c r="K186" s="111" t="str">
        <f>IFERROR(__xludf.DUMMYFUNCTION("IFERROR(INDEX(SORT(FILTER(engagement!$E:$E, engagement!$A:$A=dashboard!$L$4),1,1), ROW()-2), """")"),"")</f>
        <v/>
      </c>
      <c r="L186" s="111" t="str">
        <f>IFERROR(__xludf.DUMMYFUNCTION("IFERROR(INDEX(SORT(FILTER(engagement!$F:$F, engagement!$A:$A=dashboard!$L$4),1,1), ROW()-2), """")"),"")</f>
        <v/>
      </c>
    </row>
    <row r="187">
      <c r="J187" s="111" t="str">
        <f>IFERROR(__xludf.DUMMYFUNCTION("IFERROR(TEXT(INDEX(SORT(FILTER(engagement!$C:$C, engagement!$A:$A=dashboard!$L$4),1,1), ROW()-2), ""YYYY-MM-DD""), """")"),"")</f>
        <v/>
      </c>
      <c r="K187" s="111" t="str">
        <f>IFERROR(__xludf.DUMMYFUNCTION("IFERROR(INDEX(SORT(FILTER(engagement!$E:$E, engagement!$A:$A=dashboard!$L$4),1,1), ROW()-2), """")"),"")</f>
        <v/>
      </c>
      <c r="L187" s="111" t="str">
        <f>IFERROR(__xludf.DUMMYFUNCTION("IFERROR(INDEX(SORT(FILTER(engagement!$F:$F, engagement!$A:$A=dashboard!$L$4),1,1), ROW()-2), """")"),"")</f>
        <v/>
      </c>
    </row>
    <row r="188">
      <c r="J188" s="111" t="str">
        <f>IFERROR(__xludf.DUMMYFUNCTION("IFERROR(TEXT(INDEX(SORT(FILTER(engagement!$C:$C, engagement!$A:$A=dashboard!$L$4),1,1), ROW()-2), ""YYYY-MM-DD""), """")"),"")</f>
        <v/>
      </c>
      <c r="K188" s="111" t="str">
        <f>IFERROR(__xludf.DUMMYFUNCTION("IFERROR(INDEX(SORT(FILTER(engagement!$E:$E, engagement!$A:$A=dashboard!$L$4),1,1), ROW()-2), """")"),"")</f>
        <v/>
      </c>
      <c r="L188" s="111" t="str">
        <f>IFERROR(__xludf.DUMMYFUNCTION("IFERROR(INDEX(SORT(FILTER(engagement!$F:$F, engagement!$A:$A=dashboard!$L$4),1,1), ROW()-2), """")"),"")</f>
        <v/>
      </c>
    </row>
    <row r="189">
      <c r="J189" s="111" t="str">
        <f>IFERROR(__xludf.DUMMYFUNCTION("IFERROR(TEXT(INDEX(SORT(FILTER(engagement!$C:$C, engagement!$A:$A=dashboard!$L$4),1,1), ROW()-2), ""YYYY-MM-DD""), """")"),"")</f>
        <v/>
      </c>
      <c r="K189" s="111" t="str">
        <f>IFERROR(__xludf.DUMMYFUNCTION("IFERROR(INDEX(SORT(FILTER(engagement!$E:$E, engagement!$A:$A=dashboard!$L$4),1,1), ROW()-2), """")"),"")</f>
        <v/>
      </c>
      <c r="L189" s="111" t="str">
        <f>IFERROR(__xludf.DUMMYFUNCTION("IFERROR(INDEX(SORT(FILTER(engagement!$F:$F, engagement!$A:$A=dashboard!$L$4),1,1), ROW()-2), """")"),"")</f>
        <v/>
      </c>
    </row>
    <row r="190">
      <c r="J190" s="111" t="str">
        <f>IFERROR(__xludf.DUMMYFUNCTION("IFERROR(TEXT(INDEX(SORT(FILTER(engagement!$C:$C, engagement!$A:$A=dashboard!$L$4),1,1), ROW()-2), ""YYYY-MM-DD""), """")"),"")</f>
        <v/>
      </c>
      <c r="K190" s="111" t="str">
        <f>IFERROR(__xludf.DUMMYFUNCTION("IFERROR(INDEX(SORT(FILTER(engagement!$E:$E, engagement!$A:$A=dashboard!$L$4),1,1), ROW()-2), """")"),"")</f>
        <v/>
      </c>
      <c r="L190" s="111" t="str">
        <f>IFERROR(__xludf.DUMMYFUNCTION("IFERROR(INDEX(SORT(FILTER(engagement!$F:$F, engagement!$A:$A=dashboard!$L$4),1,1), ROW()-2), """")"),"")</f>
        <v/>
      </c>
    </row>
    <row r="191">
      <c r="J191" s="111" t="str">
        <f>IFERROR(__xludf.DUMMYFUNCTION("IFERROR(TEXT(INDEX(SORT(FILTER(engagement!$C:$C, engagement!$A:$A=dashboard!$L$4),1,1), ROW()-2), ""YYYY-MM-DD""), """")"),"")</f>
        <v/>
      </c>
      <c r="K191" s="111" t="str">
        <f>IFERROR(__xludf.DUMMYFUNCTION("IFERROR(INDEX(SORT(FILTER(engagement!$E:$E, engagement!$A:$A=dashboard!$L$4),1,1), ROW()-2), """")"),"")</f>
        <v/>
      </c>
      <c r="L191" s="111" t="str">
        <f>IFERROR(__xludf.DUMMYFUNCTION("IFERROR(INDEX(SORT(FILTER(engagement!$F:$F, engagement!$A:$A=dashboard!$L$4),1,1), ROW()-2), """")"),"")</f>
        <v/>
      </c>
    </row>
    <row r="192">
      <c r="J192" s="111" t="str">
        <f>IFERROR(__xludf.DUMMYFUNCTION("IFERROR(TEXT(INDEX(SORT(FILTER(engagement!$C:$C, engagement!$A:$A=dashboard!$L$4),1,1), ROW()-2), ""YYYY-MM-DD""), """")"),"")</f>
        <v/>
      </c>
      <c r="K192" s="111" t="str">
        <f>IFERROR(__xludf.DUMMYFUNCTION("IFERROR(INDEX(SORT(FILTER(engagement!$E:$E, engagement!$A:$A=dashboard!$L$4),1,1), ROW()-2), """")"),"")</f>
        <v/>
      </c>
      <c r="L192" s="111" t="str">
        <f>IFERROR(__xludf.DUMMYFUNCTION("IFERROR(INDEX(SORT(FILTER(engagement!$F:$F, engagement!$A:$A=dashboard!$L$4),1,1), ROW()-2), """")"),"")</f>
        <v/>
      </c>
    </row>
    <row r="193">
      <c r="J193" s="111" t="str">
        <f>IFERROR(__xludf.DUMMYFUNCTION("IFERROR(TEXT(INDEX(SORT(FILTER(engagement!$C:$C, engagement!$A:$A=dashboard!$L$4),1,1), ROW()-2), ""YYYY-MM-DD""), """")"),"")</f>
        <v/>
      </c>
      <c r="K193" s="111" t="str">
        <f>IFERROR(__xludf.DUMMYFUNCTION("IFERROR(INDEX(SORT(FILTER(engagement!$E:$E, engagement!$A:$A=dashboard!$L$4),1,1), ROW()-2), """")"),"")</f>
        <v/>
      </c>
      <c r="L193" s="111" t="str">
        <f>IFERROR(__xludf.DUMMYFUNCTION("IFERROR(INDEX(SORT(FILTER(engagement!$F:$F, engagement!$A:$A=dashboard!$L$4),1,1), ROW()-2), """")"),"")</f>
        <v/>
      </c>
    </row>
    <row r="194">
      <c r="J194" s="111" t="str">
        <f>IFERROR(__xludf.DUMMYFUNCTION("IFERROR(TEXT(INDEX(SORT(FILTER(engagement!$C:$C, engagement!$A:$A=dashboard!$L$4),1,1), ROW()-2), ""YYYY-MM-DD""), """")"),"")</f>
        <v/>
      </c>
      <c r="K194" s="111" t="str">
        <f>IFERROR(__xludf.DUMMYFUNCTION("IFERROR(INDEX(SORT(FILTER(engagement!$E:$E, engagement!$A:$A=dashboard!$L$4),1,1), ROW()-2), """")"),"")</f>
        <v/>
      </c>
      <c r="L194" s="111" t="str">
        <f>IFERROR(__xludf.DUMMYFUNCTION("IFERROR(INDEX(SORT(FILTER(engagement!$F:$F, engagement!$A:$A=dashboard!$L$4),1,1), ROW()-2), """")"),"")</f>
        <v/>
      </c>
    </row>
    <row r="195">
      <c r="J195" s="111" t="str">
        <f>IFERROR(__xludf.DUMMYFUNCTION("IFERROR(TEXT(INDEX(SORT(FILTER(engagement!$C:$C, engagement!$A:$A=dashboard!$L$4),1,1), ROW()-2), ""YYYY-MM-DD""), """")"),"")</f>
        <v/>
      </c>
      <c r="K195" s="111" t="str">
        <f>IFERROR(__xludf.DUMMYFUNCTION("IFERROR(INDEX(SORT(FILTER(engagement!$E:$E, engagement!$A:$A=dashboard!$L$4),1,1), ROW()-2), """")"),"")</f>
        <v/>
      </c>
      <c r="L195" s="111" t="str">
        <f>IFERROR(__xludf.DUMMYFUNCTION("IFERROR(INDEX(SORT(FILTER(engagement!$F:$F, engagement!$A:$A=dashboard!$L$4),1,1), ROW()-2), """")"),"")</f>
        <v/>
      </c>
    </row>
    <row r="196">
      <c r="J196" s="111" t="str">
        <f>IFERROR(__xludf.DUMMYFUNCTION("IFERROR(TEXT(INDEX(SORT(FILTER(engagement!$C:$C, engagement!$A:$A=dashboard!$L$4),1,1), ROW()-2), ""YYYY-MM-DD""), """")"),"")</f>
        <v/>
      </c>
      <c r="K196" s="111" t="str">
        <f>IFERROR(__xludf.DUMMYFUNCTION("IFERROR(INDEX(SORT(FILTER(engagement!$E:$E, engagement!$A:$A=dashboard!$L$4),1,1), ROW()-2), """")"),"")</f>
        <v/>
      </c>
      <c r="L196" s="111" t="str">
        <f>IFERROR(__xludf.DUMMYFUNCTION("IFERROR(INDEX(SORT(FILTER(engagement!$F:$F, engagement!$A:$A=dashboard!$L$4),1,1), ROW()-2), """")"),"")</f>
        <v/>
      </c>
    </row>
    <row r="197">
      <c r="J197" s="111" t="str">
        <f>IFERROR(__xludf.DUMMYFUNCTION("IFERROR(TEXT(INDEX(SORT(FILTER(engagement!$C:$C, engagement!$A:$A=dashboard!$L$4),1,1), ROW()-2), ""YYYY-MM-DD""), """")"),"")</f>
        <v/>
      </c>
      <c r="K197" s="111" t="str">
        <f>IFERROR(__xludf.DUMMYFUNCTION("IFERROR(INDEX(SORT(FILTER(engagement!$E:$E, engagement!$A:$A=dashboard!$L$4),1,1), ROW()-2), """")"),"")</f>
        <v/>
      </c>
      <c r="L197" s="111" t="str">
        <f>IFERROR(__xludf.DUMMYFUNCTION("IFERROR(INDEX(SORT(FILTER(engagement!$F:$F, engagement!$A:$A=dashboard!$L$4),1,1), ROW()-2), """")"),"")</f>
        <v/>
      </c>
    </row>
    <row r="198">
      <c r="J198" s="111" t="str">
        <f>IFERROR(__xludf.DUMMYFUNCTION("IFERROR(TEXT(INDEX(SORT(FILTER(engagement!$C:$C, engagement!$A:$A=dashboard!$L$4),1,1), ROW()-2), ""YYYY-MM-DD""), """")"),"")</f>
        <v/>
      </c>
      <c r="K198" s="111" t="str">
        <f>IFERROR(__xludf.DUMMYFUNCTION("IFERROR(INDEX(SORT(FILTER(engagement!$E:$E, engagement!$A:$A=dashboard!$L$4),1,1), ROW()-2), """")"),"")</f>
        <v/>
      </c>
      <c r="L198" s="111" t="str">
        <f>IFERROR(__xludf.DUMMYFUNCTION("IFERROR(INDEX(SORT(FILTER(engagement!$F:$F, engagement!$A:$A=dashboard!$L$4),1,1), ROW()-2), """")"),"")</f>
        <v/>
      </c>
    </row>
    <row r="199">
      <c r="J199" s="111" t="str">
        <f>IFERROR(__xludf.DUMMYFUNCTION("IFERROR(TEXT(INDEX(SORT(FILTER(engagement!$C:$C, engagement!$A:$A=dashboard!$L$4),1,1), ROW()-2), ""YYYY-MM-DD""), """")"),"")</f>
        <v/>
      </c>
      <c r="K199" s="111" t="str">
        <f>IFERROR(__xludf.DUMMYFUNCTION("IFERROR(INDEX(SORT(FILTER(engagement!$E:$E, engagement!$A:$A=dashboard!$L$4),1,1), ROW()-2), """")"),"")</f>
        <v/>
      </c>
      <c r="L199" s="111" t="str">
        <f>IFERROR(__xludf.DUMMYFUNCTION("IFERROR(INDEX(SORT(FILTER(engagement!$F:$F, engagement!$A:$A=dashboard!$L$4),1,1), ROW()-2), """")"),"")</f>
        <v/>
      </c>
    </row>
    <row r="200">
      <c r="J200" s="111" t="str">
        <f>IFERROR(__xludf.DUMMYFUNCTION("IFERROR(TEXT(INDEX(SORT(FILTER(engagement!$C:$C, engagement!$A:$A=dashboard!$L$4),1,1), ROW()-2), ""YYYY-MM-DD""), """")"),"")</f>
        <v/>
      </c>
      <c r="K200" s="111" t="str">
        <f>IFERROR(__xludf.DUMMYFUNCTION("IFERROR(INDEX(SORT(FILTER(engagement!$E:$E, engagement!$A:$A=dashboard!$L$4),1,1), ROW()-2), """")"),"")</f>
        <v/>
      </c>
      <c r="L200" s="111" t="str">
        <f>IFERROR(__xludf.DUMMYFUNCTION("IFERROR(INDEX(SORT(FILTER(engagement!$F:$F, engagement!$A:$A=dashboard!$L$4),1,1), ROW()-2), """")"),"")</f>
        <v/>
      </c>
    </row>
    <row r="201">
      <c r="J201" s="111" t="str">
        <f>IFERROR(__xludf.DUMMYFUNCTION("IFERROR(TEXT(INDEX(SORT(FILTER(engagement!$C:$C, engagement!$A:$A=dashboard!$L$4),1,1), ROW()-2), ""YYYY-MM-DD""), """")"),"")</f>
        <v/>
      </c>
      <c r="K201" s="111" t="str">
        <f>IFERROR(__xludf.DUMMYFUNCTION("IFERROR(INDEX(SORT(FILTER(engagement!$E:$E, engagement!$A:$A=dashboard!$L$4),1,1), ROW()-2), """")"),"")</f>
        <v/>
      </c>
      <c r="L201" s="111" t="str">
        <f>IFERROR(__xludf.DUMMYFUNCTION("IFERROR(INDEX(SORT(FILTER(engagement!$F:$F, engagement!$A:$A=dashboard!$L$4),1,1), ROW()-2), """")"),"")</f>
        <v/>
      </c>
    </row>
  </sheetData>
  <mergeCells count="3">
    <mergeCell ref="J1:L1"/>
    <mergeCell ref="O1:Q1"/>
    <mergeCell ref="O9:Q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6.25"/>
    <col customWidth="1" min="4" max="4" width="19.13"/>
    <col customWidth="1" min="6" max="6" width="17.25"/>
    <col customWidth="1" min="8" max="8" width="15.25"/>
    <col customWidth="1" min="12" max="12" width="17.25"/>
    <col customWidth="1" min="13" max="13" width="9.25"/>
    <col customWidth="1" min="18" max="18" width="14.75"/>
    <col customWidth="1" min="19" max="19" width="18.25"/>
  </cols>
  <sheetData>
    <row r="1">
      <c r="A1" s="142"/>
      <c r="B1" s="142"/>
      <c r="C1" s="142"/>
      <c r="D1" s="142"/>
      <c r="E1" s="142"/>
      <c r="F1" s="142"/>
      <c r="G1" s="142"/>
      <c r="H1" s="142"/>
      <c r="I1" s="142"/>
      <c r="J1" s="142"/>
      <c r="L1" s="143"/>
    </row>
    <row r="2">
      <c r="A2" s="142"/>
      <c r="B2" s="142"/>
      <c r="C2" s="142"/>
      <c r="D2" s="142"/>
      <c r="E2" s="142"/>
      <c r="F2" s="142"/>
      <c r="G2" s="142"/>
      <c r="H2" s="142"/>
      <c r="I2" s="142"/>
      <c r="J2" s="142"/>
      <c r="L2" s="143"/>
    </row>
    <row r="3">
      <c r="A3" s="142"/>
      <c r="B3" s="142"/>
      <c r="C3" s="142" t="s">
        <v>1134</v>
      </c>
      <c r="L3" s="144" t="s">
        <v>1135</v>
      </c>
    </row>
    <row r="4">
      <c r="A4" s="145"/>
      <c r="B4" s="145"/>
      <c r="C4" s="146" t="s">
        <v>1136</v>
      </c>
      <c r="D4" s="147"/>
      <c r="E4" s="146" t="s">
        <v>1137</v>
      </c>
      <c r="F4" s="147"/>
      <c r="G4" s="146" t="s">
        <v>1138</v>
      </c>
      <c r="H4" s="147"/>
      <c r="I4" s="146" t="s">
        <v>1139</v>
      </c>
      <c r="J4" s="147"/>
      <c r="L4" s="15" t="s">
        <v>17</v>
      </c>
    </row>
    <row r="5">
      <c r="A5" s="148"/>
      <c r="B5" s="148"/>
      <c r="C5" s="149">
        <f>SUM(summary!B2:B5)</f>
        <v>368</v>
      </c>
      <c r="D5" s="150"/>
      <c r="E5" s="149" t="str">
        <f>ROUND(AVERAGE(summary!G2:G5),2)&amp;"%"</f>
        <v>2.63%</v>
      </c>
      <c r="F5" s="150"/>
      <c r="G5" s="149" t="str">
        <f t="array" ref="G5">INDEX(summary!$A$3:$A$6, MATCH(MAX(summary!$G$3:$G$6), summary!$G$3:$G$6, 0))</f>
        <v>ArtStation</v>
      </c>
      <c r="H5" s="150"/>
      <c r="I5" s="151" t="str">
        <f t="array" ref="I5">INDEX(summary!$A$8:$A$50, MATCH(MAX(MMULT(IFERROR(summary!$B$8:$E$50*1,0),{1;1;1;1})), MMULT(IFERROR(summary!$B$8:$E$50*1,0),{1;1;1;1}), 0))</f>
        <v>2023-12</v>
      </c>
      <c r="J5" s="150"/>
    </row>
    <row r="6">
      <c r="A6" s="148"/>
      <c r="B6" s="148"/>
      <c r="C6" s="152"/>
      <c r="D6" s="153"/>
      <c r="E6" s="152"/>
      <c r="F6" s="153"/>
      <c r="G6" s="152"/>
      <c r="H6" s="153"/>
      <c r="I6" s="152"/>
      <c r="J6" s="153"/>
    </row>
    <row r="8">
      <c r="N8" s="154" t="str">
        <f>"Top 10 Posts - "&amp;L4</f>
        <v>Top 10 Posts - ArtStation</v>
      </c>
      <c r="O8" s="155"/>
    </row>
    <row r="9">
      <c r="N9" s="156" t="s">
        <v>1092</v>
      </c>
      <c r="O9" s="156" t="s">
        <v>1071</v>
      </c>
      <c r="P9" s="157" t="s">
        <v>913</v>
      </c>
      <c r="Q9" s="157" t="s">
        <v>914</v>
      </c>
      <c r="R9" s="157" t="s">
        <v>912</v>
      </c>
      <c r="S9" s="157" t="s">
        <v>1075</v>
      </c>
      <c r="T9" s="157" t="s">
        <v>38</v>
      </c>
    </row>
    <row r="10">
      <c r="N10" s="93">
        <f>summary!O11</f>
        <v>1</v>
      </c>
      <c r="O10" s="96" t="str">
        <f>summary!P11</f>
        <v>2020-03-21</v>
      </c>
      <c r="P10" s="93">
        <f>summary!Q11</f>
        <v>8600</v>
      </c>
      <c r="Q10" s="93">
        <f>summary!R11</f>
        <v>141</v>
      </c>
      <c r="R10" s="93">
        <f>summary!S11</f>
        <v>14300</v>
      </c>
      <c r="S10" s="99">
        <f>summary!T11</f>
        <v>61.13</v>
      </c>
      <c r="T10" s="158" t="str">
        <f>summary!U11</f>
        <v>https://www.artstation.com/artwork/gJrOym</v>
      </c>
    </row>
    <row r="11">
      <c r="N11" s="99">
        <f>summary!O12</f>
        <v>2</v>
      </c>
      <c r="O11" s="101" t="str">
        <f>summary!P12</f>
        <v>2025-04-21</v>
      </c>
      <c r="P11" s="99">
        <f>summary!Q12</f>
        <v>665</v>
      </c>
      <c r="Q11" s="99">
        <f>summary!R12</f>
        <v>0</v>
      </c>
      <c r="R11" s="99">
        <f>summary!S12</f>
        <v>5300</v>
      </c>
      <c r="S11" s="99">
        <f>summary!T12</f>
        <v>12.55</v>
      </c>
      <c r="T11" s="159" t="str">
        <f>summary!U12</f>
        <v>https://www.artstation.com/artwork/bg4gGr</v>
      </c>
    </row>
    <row r="12">
      <c r="N12" s="99">
        <f>summary!O13</f>
        <v>3</v>
      </c>
      <c r="O12" s="101" t="str">
        <f>summary!P13</f>
        <v>2026-03-30</v>
      </c>
      <c r="P12" s="99">
        <f>summary!Q13</f>
        <v>170</v>
      </c>
      <c r="Q12" s="99">
        <f>summary!R13</f>
        <v>0</v>
      </c>
      <c r="R12" s="99">
        <f>summary!S13</f>
        <v>1500</v>
      </c>
      <c r="S12" s="99">
        <f>summary!T13</f>
        <v>11.33</v>
      </c>
      <c r="T12" s="159" t="str">
        <f>summary!U13</f>
        <v>https://www.artstation.com/artwork/bg9Nor</v>
      </c>
    </row>
    <row r="13">
      <c r="N13" s="99">
        <f>summary!O14</f>
        <v>4</v>
      </c>
      <c r="O13" s="101" t="str">
        <f>summary!P14</f>
        <v>2025-04-21</v>
      </c>
      <c r="P13" s="99">
        <f>summary!Q14</f>
        <v>560</v>
      </c>
      <c r="Q13" s="99">
        <f>summary!R14</f>
        <v>2</v>
      </c>
      <c r="R13" s="99">
        <f>summary!S14</f>
        <v>5100</v>
      </c>
      <c r="S13" s="99">
        <f>summary!T14</f>
        <v>11.02</v>
      </c>
      <c r="T13" s="159" t="str">
        <f>summary!U14</f>
        <v>https://www.artstation.com/artwork/0lqlyw</v>
      </c>
    </row>
    <row r="14">
      <c r="N14" s="99">
        <f>summary!O15</f>
        <v>5</v>
      </c>
      <c r="O14" s="101" t="str">
        <f>summary!P15</f>
        <v>2026-04-01</v>
      </c>
      <c r="P14" s="99">
        <f>summary!Q15</f>
        <v>303</v>
      </c>
      <c r="Q14" s="99">
        <f>summary!R15</f>
        <v>2</v>
      </c>
      <c r="R14" s="99">
        <f>summary!S15</f>
        <v>2800</v>
      </c>
      <c r="S14" s="99">
        <f>summary!T15</f>
        <v>10.89</v>
      </c>
      <c r="T14" s="159" t="str">
        <f>summary!U15</f>
        <v>https://www.artstation.com/artwork/gREQl8</v>
      </c>
    </row>
    <row r="15">
      <c r="N15" s="99">
        <f>summary!O16</f>
        <v>6</v>
      </c>
      <c r="O15" s="101" t="str">
        <f>summary!P16</f>
        <v>2025-08-07</v>
      </c>
      <c r="P15" s="99">
        <f>summary!Q16</f>
        <v>580</v>
      </c>
      <c r="Q15" s="99">
        <f>summary!R16</f>
        <v>5</v>
      </c>
      <c r="R15" s="99">
        <f>summary!S16</f>
        <v>5600</v>
      </c>
      <c r="S15" s="99">
        <f>summary!T16</f>
        <v>10.45</v>
      </c>
      <c r="T15" s="159" t="str">
        <f>summary!U16</f>
        <v>https://www.artstation.com/artwork/OvKAWe</v>
      </c>
    </row>
    <row r="16">
      <c r="N16" s="99">
        <f>summary!O17</f>
        <v>7</v>
      </c>
      <c r="O16" s="101" t="str">
        <f>summary!P17</f>
        <v>2025-02-06</v>
      </c>
      <c r="P16" s="99">
        <f>summary!Q17</f>
        <v>843</v>
      </c>
      <c r="Q16" s="99">
        <f>summary!R17</f>
        <v>4</v>
      </c>
      <c r="R16" s="99">
        <f>summary!S17</f>
        <v>8300</v>
      </c>
      <c r="S16" s="99">
        <f>summary!T17</f>
        <v>10.2</v>
      </c>
      <c r="T16" s="159" t="str">
        <f>summary!U17</f>
        <v>https://www.artstation.com/artwork/rlWnde</v>
      </c>
    </row>
    <row r="17">
      <c r="N17" s="99">
        <f>summary!O18</f>
        <v>8</v>
      </c>
      <c r="O17" s="101" t="str">
        <f>summary!P18</f>
        <v>2025-04-21</v>
      </c>
      <c r="P17" s="99">
        <f>summary!Q18</f>
        <v>567</v>
      </c>
      <c r="Q17" s="99">
        <f>summary!R18</f>
        <v>2</v>
      </c>
      <c r="R17" s="99">
        <f>summary!S18</f>
        <v>5600</v>
      </c>
      <c r="S17" s="99">
        <f>summary!T18</f>
        <v>10.16</v>
      </c>
      <c r="T17" s="159" t="str">
        <f>summary!U18</f>
        <v>https://www.artstation.com/artwork/4NLNmW</v>
      </c>
    </row>
    <row r="18">
      <c r="N18" s="99">
        <f>summary!O19</f>
        <v>9</v>
      </c>
      <c r="O18" s="101" t="str">
        <f>summary!P19</f>
        <v>2026-02-06</v>
      </c>
      <c r="P18" s="99">
        <f>summary!Q19</f>
        <v>170</v>
      </c>
      <c r="Q18" s="99">
        <f>summary!R19</f>
        <v>2</v>
      </c>
      <c r="R18" s="99">
        <f>summary!S19</f>
        <v>1700</v>
      </c>
      <c r="S18" s="99">
        <f>summary!T19</f>
        <v>10.12</v>
      </c>
      <c r="T18" s="159" t="str">
        <f>summary!U19</f>
        <v>https://www.artstation.com/artwork/oJNekO</v>
      </c>
    </row>
    <row r="19">
      <c r="N19" s="103">
        <f>summary!O20</f>
        <v>10</v>
      </c>
      <c r="O19" s="141" t="str">
        <f>summary!P20</f>
        <v>2026-04-01</v>
      </c>
      <c r="P19" s="103">
        <f>summary!Q20</f>
        <v>148</v>
      </c>
      <c r="Q19" s="103">
        <f>summary!R20</f>
        <v>3</v>
      </c>
      <c r="R19" s="103">
        <f>summary!S20</f>
        <v>1500</v>
      </c>
      <c r="S19" s="103">
        <f>summary!T20</f>
        <v>10.07</v>
      </c>
      <c r="T19" s="160" t="str">
        <f>summary!U20</f>
        <v>https://www.artstation.com/artwork/WXR1WE</v>
      </c>
    </row>
  </sheetData>
  <mergeCells count="10">
    <mergeCell ref="G5:H6"/>
    <mergeCell ref="I5:J6"/>
    <mergeCell ref="N8:O8"/>
    <mergeCell ref="C3:J3"/>
    <mergeCell ref="C4:D4"/>
    <mergeCell ref="E4:F4"/>
    <mergeCell ref="G4:H4"/>
    <mergeCell ref="I4:J4"/>
    <mergeCell ref="C5:D6"/>
    <mergeCell ref="E5:F6"/>
  </mergeCells>
  <dataValidations>
    <dataValidation type="list" allowBlank="1" showErrorMessage="1" sqref="L4">
      <formula1>summary!$A$3:$A$6</formula1>
    </dataValidation>
  </dataValidations>
  <drawing r:id="rId1"/>
</worksheet>
</file>